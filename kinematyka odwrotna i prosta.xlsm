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esktop\Dropbox\Fabrity\moje\"/>
    </mc:Choice>
  </mc:AlternateContent>
  <bookViews>
    <workbookView xWindow="0" yWindow="0" windowWidth="28800" windowHeight="10770" activeTab="1"/>
  </bookViews>
  <sheets>
    <sheet name="OKodwrotnaXY" sheetId="1" r:id="rId1"/>
    <sheet name="OKodwrotnaXYZ (2)" sheetId="5" r:id="rId2"/>
    <sheet name="Sheet2" sheetId="4" r:id="rId3"/>
    <sheet name="Sheet1" sheetId="6" r:id="rId4"/>
  </sheets>
  <definedNames>
    <definedName name="_cos3">'OKodwrotnaXYZ (2)'!$B$35</definedName>
    <definedName name="_sin3">'OKodwrotnaXYZ (2)'!$B$36</definedName>
    <definedName name="alfaDest">'OKodwrotnaXYZ (2)'!$B$5</definedName>
    <definedName name="alfaXYOffsetXY">'OKodwrotnaXYZ (2)'!$B$10</definedName>
    <definedName name="destX">'OKodwrotnaXYZ (2)'!$B$2</definedName>
    <definedName name="destY">'OKodwrotnaXYZ (2)'!$B$3</definedName>
    <definedName name="destZ">'OKodwrotnaXYZ (2)'!$B$4</definedName>
    <definedName name="Length0">'OKodwrotnaXYZ (2)'!$B$12</definedName>
    <definedName name="Length1">'OKodwrotnaXYZ (2)'!$B$13</definedName>
    <definedName name="Length2">'OKodwrotnaXYZ (2)'!$B$14</definedName>
    <definedName name="O1X">'OKodwrotnaXYZ (2)'!$D$24</definedName>
    <definedName name="O1Y">'OKodwrotnaXYZ (2)'!$D$25</definedName>
    <definedName name="O1Z">'OKodwrotnaXYZ (2)'!$D$26</definedName>
    <definedName name="O2X">'OKodwrotnaXYZ (2)'!$E$24</definedName>
    <definedName name="O2Y">'OKodwrotnaXYZ (2)'!$E$25</definedName>
    <definedName name="O2Z">'OKodwrotnaXYZ (2)'!$E$26</definedName>
    <definedName name="O3X">'OKodwrotnaXYZ (2)'!$F$24</definedName>
    <definedName name="O3Y">'OKodwrotnaXYZ (2)'!$F$25</definedName>
    <definedName name="O3Z">'OKodwrotnaXYZ (2)'!$F$26</definedName>
    <definedName name="ODestX">'OKodwrotnaXYZ (2)'!$G$24</definedName>
    <definedName name="ODestY">'OKodwrotnaXYZ (2)'!$G$25</definedName>
    <definedName name="ODestZ">'OKodwrotnaXYZ (2)'!$G$26</definedName>
    <definedName name="offsetX">'OKodwrotnaXYZ (2)'!$B$7</definedName>
    <definedName name="offsetY">'OKodwrotnaXYZ (2)'!$B$8</definedName>
    <definedName name="offsetZ">'OKodwrotnaXYZ (2)'!$B$9</definedName>
    <definedName name="pXFromO1">'OKodwrotnaXYZ (2)'!$B$17</definedName>
    <definedName name="pXFromO2">'OKodwrotnaXYZ (2)'!$B$29</definedName>
    <definedName name="pYFromO1">'OKodwrotnaXYZ (2)'!$B$18</definedName>
    <definedName name="pYFromO2">'OKodwrotnaXYZ (2)'!$B$30</definedName>
    <definedName name="pZFromO1">'OKodwrotnaXYZ (2)'!$B$19</definedName>
    <definedName name="pZFromO2">'OKodwrotnaXYZ (2)'!$B$31</definedName>
    <definedName name="RpXpY">'OKodwrotnaXYZ (2)'!$B$33</definedName>
    <definedName name="theta0">'OKodwrotnaXYZ (2)'!$B$37</definedName>
    <definedName name="theta1">'OKodwrotnaXYZ (2)'!$B$38</definedName>
    <definedName name="theta2">'OKodwrotnaXYZ (2)'!$B$39</definedName>
  </definedNames>
  <calcPr calcId="162913"/>
</workbook>
</file>

<file path=xl/calcChain.xml><?xml version="1.0" encoding="utf-8"?>
<calcChain xmlns="http://schemas.openxmlformats.org/spreadsheetml/2006/main">
  <c r="B5" i="5" l="1"/>
  <c r="D25" i="5"/>
  <c r="C25" i="5" s="1"/>
  <c r="D24" i="5"/>
  <c r="C24" i="5" s="1"/>
  <c r="E26" i="5" l="1"/>
  <c r="B10" i="5"/>
  <c r="D26" i="5"/>
  <c r="B19" i="5"/>
  <c r="B18" i="5"/>
  <c r="B17" i="5"/>
  <c r="C5" i="5"/>
  <c r="E13" i="5"/>
  <c r="C9" i="1"/>
  <c r="C8" i="1"/>
  <c r="C6" i="1"/>
  <c r="C5" i="1"/>
  <c r="B13" i="1" l="1"/>
  <c r="B18" i="1" s="1"/>
  <c r="B37" i="5"/>
  <c r="B31" i="5"/>
  <c r="C10" i="5"/>
  <c r="C37" i="5" l="1"/>
  <c r="E24" i="5"/>
  <c r="D27" i="5"/>
  <c r="E25" i="5"/>
  <c r="B14" i="1"/>
  <c r="B19" i="1" s="1"/>
  <c r="B21" i="1" s="1"/>
  <c r="C21" i="1" s="1"/>
  <c r="B20" i="5"/>
  <c r="C20" i="5" s="1"/>
  <c r="B22" i="5"/>
  <c r="C22" i="5" s="1"/>
  <c r="B15" i="1" l="1"/>
  <c r="C29" i="1" s="1"/>
  <c r="D29" i="1" s="1"/>
  <c r="B20" i="1"/>
  <c r="C33" i="1" s="1"/>
  <c r="D33" i="1" s="1"/>
  <c r="B16" i="1"/>
  <c r="C16" i="1" s="1"/>
  <c r="B30" i="5"/>
  <c r="B29" i="5"/>
  <c r="C30" i="1"/>
  <c r="D30" i="1" s="1"/>
  <c r="E6" i="5" l="1"/>
  <c r="B33" i="5"/>
  <c r="B35" i="5" s="1"/>
  <c r="C32" i="1"/>
  <c r="D32" i="1" s="1"/>
  <c r="C15" i="1"/>
  <c r="C20" i="1"/>
  <c r="E27" i="5"/>
  <c r="B32" i="5"/>
  <c r="C32" i="5" s="1"/>
  <c r="B36" i="5" l="1"/>
  <c r="B38" i="5" s="1"/>
  <c r="C38" i="5" s="1"/>
  <c r="F26" i="5" l="1"/>
  <c r="F25" i="5"/>
  <c r="F24" i="5"/>
  <c r="D38" i="5"/>
  <c r="B39" i="5"/>
  <c r="F27" i="5" l="1"/>
  <c r="C40" i="5"/>
  <c r="C39" i="5"/>
  <c r="G26" i="5"/>
  <c r="G24" i="5"/>
  <c r="G25" i="5"/>
  <c r="G27" i="5" l="1"/>
  <c r="B40" i="5"/>
</calcChain>
</file>

<file path=xl/sharedStrings.xml><?xml version="1.0" encoding="utf-8"?>
<sst xmlns="http://schemas.openxmlformats.org/spreadsheetml/2006/main" count="72" uniqueCount="53">
  <si>
    <t>L1</t>
  </si>
  <si>
    <t>L2</t>
  </si>
  <si>
    <t>px</t>
  </si>
  <si>
    <t>py</t>
  </si>
  <si>
    <t>c2</t>
  </si>
  <si>
    <t>s2</t>
  </si>
  <si>
    <t>th11=</t>
  </si>
  <si>
    <t>th21=</t>
  </si>
  <si>
    <t>th12=</t>
  </si>
  <si>
    <t>#</t>
  </si>
  <si>
    <t>x1</t>
  </si>
  <si>
    <t>z1</t>
  </si>
  <si>
    <t>pz</t>
  </si>
  <si>
    <t>c3</t>
  </si>
  <si>
    <t>s3</t>
  </si>
  <si>
    <t>x</t>
  </si>
  <si>
    <t>INT_FREQ</t>
  </si>
  <si>
    <r>
      <rPr>
        <b/>
        <sz val="11"/>
        <color rgb="FF000000"/>
        <rFont val="Liberation Sans"/>
      </rPr>
      <t>Prescaler - wartość dzielnika wewnętrznego zegara, którym będzie taktowany timer.</t>
    </r>
    <r>
      <rPr>
        <sz val="11"/>
        <color rgb="FF000000"/>
        <rFont val="Liberation Sans"/>
      </rPr>
      <t>0 - 65535.</t>
    </r>
  </si>
  <si>
    <t>Counter Mode - definiuje, czy timer ma zliczać w górę, czy w dół.</t>
  </si>
  <si>
    <t>Counter Period (AutoReload Register) - wartość, do której zlicza timer.</t>
  </si>
  <si>
    <t>Internal Clock Division - jeszcze jedno miejsce, gdzie można dokonać dzielenia sygnału taktującego timer.</t>
  </si>
  <si>
    <t>INT_FREQ - częstotliwość generowanego przerwania.</t>
  </si>
  <si>
    <t>TIM_CLK - częstotliwość taktowania magistrali, na której umieszczony jest timer.</t>
  </si>
  <si>
    <t>ARR, PSC, CKD - opisane wcześniej rejestry.</t>
  </si>
  <si>
    <t>ARR</t>
  </si>
  <si>
    <t>PSC</t>
  </si>
  <si>
    <t>CKD</t>
  </si>
  <si>
    <t>th01=</t>
  </si>
  <si>
    <t>L0</t>
  </si>
  <si>
    <t>pxpy</t>
  </si>
  <si>
    <t>offX</t>
  </si>
  <si>
    <t>offY</t>
  </si>
  <si>
    <t>offZ</t>
  </si>
  <si>
    <t>th0=</t>
  </si>
  <si>
    <t>y1</t>
  </si>
  <si>
    <t>alfaXY</t>
  </si>
  <si>
    <t>px from O1</t>
  </si>
  <si>
    <t>py from O1</t>
  </si>
  <si>
    <t>pz from O1</t>
  </si>
  <si>
    <t>alfaXY from O1</t>
  </si>
  <si>
    <t>alfaXYOffsetXY</t>
  </si>
  <si>
    <t>px from O2</t>
  </si>
  <si>
    <t>py from O2</t>
  </si>
  <si>
    <t>pz from O2</t>
  </si>
  <si>
    <t>O1</t>
  </si>
  <si>
    <t>O2</t>
  </si>
  <si>
    <t>alfaXY from O2</t>
  </si>
  <si>
    <t># same as from O1</t>
  </si>
  <si>
    <t>O3</t>
  </si>
  <si>
    <t>Dest</t>
  </si>
  <si>
    <t>minP</t>
  </si>
  <si>
    <t>maxP</t>
  </si>
  <si>
    <t>is In Leg Range?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</si>
</sst>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0"/>
    <numFmt numFmtId="165" formatCode="#,##0.0"/>
  </numFmts>
  <fonts count="29">
    <font>
      <sz val="11"/>
      <color rgb="FF000000"/>
      <name val="Liberation Sans1"/>
    </font>
    <font>
      <sz val="11"/>
      <color rgb="FF000000"/>
      <name val="Liberation Sans1"/>
    </font>
    <font>
      <b/>
      <sz val="10"/>
      <color rgb="FF000000"/>
      <name val="Liberation Sans1"/>
    </font>
    <font>
      <sz val="10"/>
      <color rgb="FFFFFFFF"/>
      <name val="Liberation Sans1"/>
    </font>
    <font>
      <sz val="10"/>
      <color rgb="FFCC0000"/>
      <name val="Liberation Sans1"/>
    </font>
    <font>
      <b/>
      <sz val="10"/>
      <color rgb="FFFFFFFF"/>
      <name val="Liberation Sans1"/>
    </font>
    <font>
      <i/>
      <sz val="10"/>
      <color rgb="FF808080"/>
      <name val="Liberation Sans1"/>
    </font>
    <font>
      <sz val="10"/>
      <color rgb="FF006600"/>
      <name val="Liberation Sans1"/>
    </font>
    <font>
      <b/>
      <sz val="24"/>
      <color rgb="FF000000"/>
      <name val="Liberation Sans1"/>
    </font>
    <font>
      <sz val="18"/>
      <color rgb="FF000000"/>
      <name val="Liberation Sans1"/>
    </font>
    <font>
      <sz val="12"/>
      <color rgb="FF000000"/>
      <name val="Liberation Sans1"/>
    </font>
    <font>
      <u/>
      <sz val="10"/>
      <color rgb="FF0000EE"/>
      <name val="Liberation Sans1"/>
    </font>
    <font>
      <sz val="10"/>
      <color rgb="FF996600"/>
      <name val="Liberation Sans1"/>
    </font>
    <font>
      <sz val="10"/>
      <color rgb="FF333333"/>
      <name val="Liberation Sans1"/>
    </font>
    <font>
      <b/>
      <sz val="11"/>
      <color rgb="FFDFCCE4"/>
      <name val="Liberation Sans1"/>
    </font>
    <font>
      <b/>
      <sz val="11"/>
      <color rgb="FF512480"/>
      <name val="Liberation Sans1"/>
    </font>
    <font>
      <b/>
      <sz val="11"/>
      <color rgb="FF000000"/>
      <name val="Liberation Sans1"/>
    </font>
    <font>
      <b/>
      <sz val="11"/>
      <color rgb="FF000000"/>
      <name val="Liberation Sans"/>
    </font>
    <font>
      <sz val="11"/>
      <color rgb="FF000000"/>
      <name val="Liberation Sans"/>
    </font>
    <font>
      <sz val="11"/>
      <color rgb="FF3F3F76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0"/>
      <name val="Hack"/>
      <family val="3"/>
      <charset val="238"/>
    </font>
    <font>
      <sz val="10"/>
      <color rgb="FF006600"/>
      <name val="Hack"/>
      <family val="3"/>
      <charset val="238"/>
    </font>
    <font>
      <sz val="10"/>
      <color rgb="FF000000"/>
      <name val="Hack"/>
      <family val="3"/>
      <charset val="238"/>
    </font>
    <font>
      <sz val="10"/>
      <color theme="0"/>
      <name val="Hack"/>
      <family val="3"/>
      <charset val="238"/>
    </font>
    <font>
      <b/>
      <sz val="10"/>
      <color rgb="FF512480"/>
      <name val="Hack"/>
      <family val="3"/>
      <charset val="238"/>
    </font>
    <font>
      <b/>
      <sz val="10"/>
      <color rgb="FF000000"/>
      <name val="Hack"/>
      <family val="3"/>
      <charset val="238"/>
    </font>
    <font>
      <b/>
      <sz val="10"/>
      <color rgb="FF3F3F76"/>
      <name val="Hack"/>
      <family val="3"/>
      <charset val="238"/>
    </font>
    <font>
      <sz val="10"/>
      <color rgb="FFDFCCE4"/>
      <name val="Hack"/>
      <family val="3"/>
      <charset val="238"/>
    </font>
  </fonts>
  <fills count="1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C3687"/>
        <bgColor rgb="FF1C3687"/>
      </patternFill>
    </fill>
    <fill>
      <patternFill patternType="solid">
        <fgColor rgb="FFC2E0AE"/>
        <bgColor rgb="FFC2E0AE"/>
      </patternFill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5">
    <xf numFmtId="0" fontId="0" fillId="0" borderId="0"/>
    <xf numFmtId="0" fontId="9" fillId="0" borderId="0" applyNumberFormat="0" applyBorder="0" applyProtection="0"/>
    <xf numFmtId="0" fontId="10" fillId="0" borderId="0" applyNumberFormat="0" applyBorder="0" applyProtection="0"/>
    <xf numFmtId="0" fontId="7" fillId="7" borderId="0" applyNumberFormat="0" applyBorder="0" applyProtection="0"/>
    <xf numFmtId="0" fontId="4" fillId="5" borderId="0" applyNumberFormat="0" applyBorder="0" applyProtection="0"/>
    <xf numFmtId="0" fontId="12" fillId="8" borderId="0" applyNumberFormat="0" applyBorder="0" applyProtection="0"/>
    <xf numFmtId="0" fontId="13" fillId="8" borderId="1" applyNumberFormat="0" applyProtection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5" fillId="6" borderId="0" applyNumberFormat="0" applyBorder="0" applyProtection="0"/>
    <xf numFmtId="0" fontId="6" fillId="0" borderId="0" applyNumberFormat="0" applyBorder="0" applyProtection="0"/>
    <xf numFmtId="0" fontId="8" fillId="0" borderId="0" applyNumberFormat="0" applyBorder="0" applyProtection="0"/>
    <xf numFmtId="0" fontId="11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4" fillId="0" borderId="0" applyNumberFormat="0" applyBorder="0" applyProtection="0"/>
    <xf numFmtId="0" fontId="19" fillId="11" borderId="10" applyProtection="0"/>
    <xf numFmtId="0" fontId="20" fillId="12" borderId="0" applyNumberFormat="0" applyBorder="0" applyAlignment="0" applyProtection="0"/>
    <xf numFmtId="49" fontId="21" fillId="13" borderId="0" applyBorder="0" applyAlignment="0" applyProtection="0"/>
    <xf numFmtId="0" fontId="20" fillId="14" borderId="0" applyNumberFormat="0" applyBorder="0" applyAlignment="0" applyProtection="0"/>
    <xf numFmtId="165" fontId="28" fillId="9" borderId="0"/>
    <xf numFmtId="165" fontId="27" fillId="11" borderId="10"/>
    <xf numFmtId="165" fontId="24" fillId="12" borderId="0">
      <alignment horizontal="right"/>
    </xf>
  </cellStyleXfs>
  <cellXfs count="30">
    <xf numFmtId="0" fontId="0" fillId="0" borderId="0" xfId="0"/>
    <xf numFmtId="164" fontId="0" fillId="0" borderId="0" xfId="0" applyNumberFormat="1"/>
    <xf numFmtId="164" fontId="14" fillId="9" borderId="0" xfId="0" applyNumberFormat="1" applyFont="1" applyFill="1"/>
    <xf numFmtId="164" fontId="15" fillId="10" borderId="0" xfId="0" applyNumberFormat="1" applyFont="1" applyFill="1"/>
    <xf numFmtId="0" fontId="0" fillId="0" borderId="0" xfId="0" applyAlignment="1">
      <alignment horizontal="right"/>
    </xf>
    <xf numFmtId="0" fontId="16" fillId="0" borderId="0" xfId="0" applyFont="1" applyAlignment="1">
      <alignment horizontal="right" wrapText="1"/>
    </xf>
    <xf numFmtId="164" fontId="22" fillId="7" borderId="0" xfId="3" applyNumberFormat="1" applyFont="1"/>
    <xf numFmtId="164" fontId="23" fillId="0" borderId="0" xfId="0" applyNumberFormat="1" applyFont="1"/>
    <xf numFmtId="3" fontId="23" fillId="0" borderId="0" xfId="0" applyNumberFormat="1" applyFont="1" applyAlignment="1">
      <alignment horizontal="center"/>
    </xf>
    <xf numFmtId="0" fontId="23" fillId="0" borderId="0" xfId="0" applyFont="1"/>
    <xf numFmtId="164" fontId="25" fillId="10" borderId="0" xfId="0" applyNumberFormat="1" applyFont="1" applyFill="1"/>
    <xf numFmtId="164" fontId="23" fillId="0" borderId="0" xfId="0" applyNumberFormat="1" applyFont="1" applyAlignment="1">
      <alignment horizontal="center"/>
    </xf>
    <xf numFmtId="164" fontId="26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164" fontId="23" fillId="0" borderId="2" xfId="0" applyNumberFormat="1" applyFont="1" applyBorder="1"/>
    <xf numFmtId="164" fontId="23" fillId="0" borderId="3" xfId="0" applyNumberFormat="1" applyFont="1" applyBorder="1"/>
    <xf numFmtId="164" fontId="23" fillId="0" borderId="4" xfId="0" applyNumberFormat="1" applyFont="1" applyBorder="1"/>
    <xf numFmtId="164" fontId="23" fillId="0" borderId="5" xfId="0" applyNumberFormat="1" applyFont="1" applyBorder="1"/>
    <xf numFmtId="164" fontId="23" fillId="0" borderId="0" xfId="0" applyNumberFormat="1" applyFont="1" applyBorder="1"/>
    <xf numFmtId="164" fontId="23" fillId="0" borderId="6" xfId="0" applyNumberFormat="1" applyFont="1" applyBorder="1"/>
    <xf numFmtId="164" fontId="23" fillId="0" borderId="7" xfId="0" applyNumberFormat="1" applyFont="1" applyBorder="1"/>
    <xf numFmtId="164" fontId="23" fillId="0" borderId="8" xfId="0" applyNumberFormat="1" applyFont="1" applyBorder="1"/>
    <xf numFmtId="164" fontId="23" fillId="0" borderId="9" xfId="0" applyNumberFormat="1" applyFont="1" applyBorder="1"/>
    <xf numFmtId="165" fontId="28" fillId="9" borderId="0" xfId="22"/>
    <xf numFmtId="165" fontId="27" fillId="11" borderId="10" xfId="23"/>
    <xf numFmtId="165" fontId="27" fillId="11" borderId="10" xfId="23" applyFont="1"/>
    <xf numFmtId="165" fontId="24" fillId="14" borderId="0" xfId="21" applyNumberFormat="1" applyFont="1"/>
    <xf numFmtId="165" fontId="24" fillId="12" borderId="0" xfId="19" applyNumberFormat="1" applyFont="1" applyAlignment="1">
      <alignment horizontal="right"/>
    </xf>
    <xf numFmtId="165" fontId="24" fillId="12" borderId="0" xfId="24">
      <alignment horizontal="right"/>
    </xf>
    <xf numFmtId="164" fontId="28" fillId="9" borderId="0" xfId="22" applyNumberFormat="1"/>
  </cellXfs>
  <cellStyles count="25">
    <cellStyle name="Accent" xfId="7"/>
    <cellStyle name="Accent 1" xfId="8"/>
    <cellStyle name="Accent 2" xfId="9"/>
    <cellStyle name="Accent 3" xfId="10"/>
    <cellStyle name="Accent2" xfId="19" builtinId="33"/>
    <cellStyle name="Accent5" xfId="20" builtinId="45" customBuiltin="1"/>
    <cellStyle name="Accent6" xfId="21" builtinId="49"/>
    <cellStyle name="aInfo" xfId="24"/>
    <cellStyle name="aInput2" xfId="23"/>
    <cellStyle name="aStyle 1" xfId="22"/>
    <cellStyle name="Bad" xfId="4" builtinId="27" customBuiltin="1"/>
    <cellStyle name="Error" xfId="11"/>
    <cellStyle name="Footnote" xfId="12"/>
    <cellStyle name="Good" xfId="3" builtinId="26" customBuiltin="1"/>
    <cellStyle name="Heading" xfId="13"/>
    <cellStyle name="Heading 1" xfId="1" builtinId="16" customBuiltin="1"/>
    <cellStyle name="Heading 2" xfId="2" builtinId="17" customBuiltin="1"/>
    <cellStyle name="Hyperlink" xfId="14"/>
    <cellStyle name="Input" xfId="18" builtinId="20" customBuiltin="1"/>
    <cellStyle name="Neutral" xfId="5" builtinId="28" customBuiltin="1"/>
    <cellStyle name="Normal" xfId="0" builtinId="0" customBuiltin="1"/>
    <cellStyle name="Note" xfId="6" builtinId="1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  <colors>
    <mruColors>
      <color rgb="FF000000"/>
      <color rgb="FFFF0066"/>
      <color rgb="FF3399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>
        <c:manualLayout>
          <c:xMode val="edge"/>
          <c:yMode val="edge"/>
          <c:x val="0"/>
          <c:y val="0"/>
          <c:w val="1"/>
          <c:h val="0.94535489250262117"/>
        </c:manualLayout>
      </c:layout>
      <c:scatterChart>
        <c:scatterStyle val="lineMarker"/>
        <c:varyColors val="0"/>
        <c:ser>
          <c:idx val="0"/>
          <c:order val="0"/>
          <c:spPr>
            <a:ln w="19083" cap="rnd">
              <a:solidFill>
                <a:srgbClr val="5B9BD5"/>
              </a:solidFill>
              <a:prstDash val="solid"/>
              <a:round/>
            </a:ln>
          </c:spPr>
          <c:marker>
            <c:symbol val="x"/>
            <c:size val="5"/>
          </c:marker>
          <c:xVal>
            <c:numRef>
              <c:f>OKodwrotnaXY!$B$29:$D$29</c:f>
              <c:numCache>
                <c:formatCode>#\ ##0.000</c:formatCode>
                <c:ptCount val="3"/>
                <c:pt idx="0">
                  <c:v>0</c:v>
                </c:pt>
                <c:pt idx="1">
                  <c:v>25.000000000000007</c:v>
                </c:pt>
                <c:pt idx="2">
                  <c:v>49.999999999999993</c:v>
                </c:pt>
              </c:numCache>
            </c:numRef>
          </c:xVal>
          <c:yVal>
            <c:numRef>
              <c:f>OKodwrotnaXY!$B$30:$D$30</c:f>
              <c:numCache>
                <c:formatCode>#\ ##0.000</c:formatCode>
                <c:ptCount val="3"/>
                <c:pt idx="0">
                  <c:v>0</c:v>
                </c:pt>
                <c:pt idx="1">
                  <c:v>-43.301270189221931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A-40DB-9D70-1BE879C6A117}"/>
            </c:ext>
          </c:extLst>
        </c:ser>
        <c:ser>
          <c:idx val="1"/>
          <c:order val="1"/>
          <c:spPr>
            <a:ln w="19083" cap="rnd">
              <a:solidFill>
                <a:srgbClr val="ED7D31"/>
              </a:solidFill>
              <a:prstDash val="solid"/>
              <a:round/>
            </a:ln>
          </c:spPr>
          <c:marker>
            <c:symbol val="square"/>
            <c:size val="5"/>
          </c:marker>
          <c:xVal>
            <c:numRef>
              <c:f>OKodwrotnaXY!$B$32:$D$32</c:f>
              <c:numCache>
                <c:formatCode>#\ ##0.000</c:formatCode>
                <c:ptCount val="3"/>
                <c:pt idx="0">
                  <c:v>0</c:v>
                </c:pt>
                <c:pt idx="1">
                  <c:v>25.000000000000007</c:v>
                </c:pt>
                <c:pt idx="2">
                  <c:v>49.999999999999993</c:v>
                </c:pt>
              </c:numCache>
            </c:numRef>
          </c:xVal>
          <c:yVal>
            <c:numRef>
              <c:f>OKodwrotnaXY!$B$33:$D$33</c:f>
              <c:numCache>
                <c:formatCode>#\ ##0.000</c:formatCode>
                <c:ptCount val="3"/>
                <c:pt idx="0">
                  <c:v>0</c:v>
                </c:pt>
                <c:pt idx="1">
                  <c:v>43.301270189221931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CA-40DB-9D70-1BE879C6A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227080"/>
        <c:axId val="382893256"/>
      </c:scatterChart>
      <c:valAx>
        <c:axId val="382893256"/>
        <c:scaling>
          <c:orientation val="minMax"/>
          <c:max val="100"/>
          <c:min val="-150"/>
        </c:scaling>
        <c:delete val="0"/>
        <c:axPos val="l"/>
        <c:majorGridlines>
          <c:spPr>
            <a:ln w="9363" cap="flat">
              <a:solidFill>
                <a:srgbClr val="D9D9D9"/>
              </a:solidFill>
              <a:prstDash val="solid"/>
              <a:round/>
            </a:ln>
          </c:spPr>
        </c:majorGridlines>
        <c:numFmt formatCode="#\ ##0.000" sourceLinked="1"/>
        <c:majorTickMark val="none"/>
        <c:minorTickMark val="none"/>
        <c:tickLblPos val="low"/>
        <c:spPr>
          <a:noFill/>
          <a:ln w="9363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pl-PL"/>
          </a:p>
        </c:txPr>
        <c:crossAx val="447227080"/>
        <c:crossesAt val="0"/>
        <c:crossBetween val="midCat"/>
        <c:majorUnit val="50"/>
        <c:minorUnit val="25"/>
      </c:valAx>
      <c:valAx>
        <c:axId val="447227080"/>
        <c:scaling>
          <c:orientation val="minMax"/>
          <c:max val="150"/>
          <c:min val="-50"/>
        </c:scaling>
        <c:delete val="0"/>
        <c:axPos val="b"/>
        <c:majorGridlines>
          <c:spPr>
            <a:ln w="9363" cap="flat">
              <a:solidFill>
                <a:srgbClr val="D9D9D9"/>
              </a:solidFill>
              <a:prstDash val="solid"/>
              <a:round/>
            </a:ln>
          </c:spPr>
        </c:majorGridlines>
        <c:numFmt formatCode="#\ ##0.000" sourceLinked="1"/>
        <c:majorTickMark val="none"/>
        <c:minorTickMark val="none"/>
        <c:tickLblPos val="low"/>
        <c:spPr>
          <a:noFill/>
          <a:ln w="9363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pl-PL"/>
          </a:p>
        </c:txPr>
        <c:crossAx val="382893256"/>
        <c:crossesAt val="0"/>
        <c:crossBetween val="midCat"/>
        <c:majorUnit val="50"/>
        <c:minorUnit val="25"/>
      </c:val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16282717918339587"/>
          <c:y val="0.92744921341688613"/>
        </c:manualLayout>
      </c:layout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900" b="0" i="0" u="none" strike="noStrike" kern="1200" baseline="0">
              <a:solidFill>
                <a:srgbClr val="595959"/>
              </a:solidFill>
              <a:latin typeface="Calibri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rgbClr val="FFFFFF"/>
    </a:solidFill>
    <a:ln w="9363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Plane </a:t>
            </a:r>
            <a:r>
              <a:rPr lang="en-US"/>
              <a:t>XY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xMode val="edge"/>
          <c:yMode val="edge"/>
          <c:x val="0"/>
          <c:y val="0"/>
          <c:w val="0.99986838641747822"/>
          <c:h val="0.94485294117647067"/>
        </c:manualLayout>
      </c:layout>
      <c:scatterChart>
        <c:scatterStyle val="lineMarker"/>
        <c:varyColors val="0"/>
        <c:ser>
          <c:idx val="1"/>
          <c:order val="0"/>
          <c:tx>
            <c:v>offset</c:v>
          </c:tx>
          <c:spPr>
            <a:ln w="9525" cap="rnd">
              <a:solidFill>
                <a:sysClr val="windowText" lastClr="0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1"/>
              </a:solidFill>
              <a:ln w="9525" cap="rnd">
                <a:solidFill>
                  <a:sysClr val="windowText" lastClr="00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'OKodwrotnaXYZ (2)'!$B$24:$D$24</c:f>
              <c:numCache>
                <c:formatCode>#\ ##0.000</c:formatCode>
                <c:ptCount val="3"/>
                <c:pt idx="0">
                  <c:v>0</c:v>
                </c:pt>
                <c:pt idx="1">
                  <c:v>50</c:v>
                </c:pt>
                <c:pt idx="2">
                  <c:v>50</c:v>
                </c:pt>
              </c:numCache>
            </c:numRef>
          </c:xVal>
          <c:yVal>
            <c:numRef>
              <c:f>'OKodwrotnaXYZ (2)'!$B$25:$D$25</c:f>
              <c:numCache>
                <c:formatCode>#\ ##0.000</c:formatCode>
                <c:ptCount val="3"/>
                <c:pt idx="0">
                  <c:v>0</c:v>
                </c:pt>
                <c:pt idx="1">
                  <c:v>50</c:v>
                </c:pt>
                <c:pt idx="2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5F-4FD0-8FBB-1D29AF6CB16D}"/>
            </c:ext>
          </c:extLst>
        </c:ser>
        <c:ser>
          <c:idx val="0"/>
          <c:order val="1"/>
          <c:tx>
            <c:v>Seg1</c:v>
          </c:tx>
          <c:spPr>
            <a:ln w="9525" cap="rnd">
              <a:solidFill>
                <a:srgbClr val="FF006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66"/>
              </a:solidFill>
              <a:ln w="9525" cap="rnd">
                <a:solidFill>
                  <a:srgbClr val="FF006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layout>
                <c:manualLayout>
                  <c:x val="-9.9760869992129714E-2"/>
                  <c:y val="3.944899793332808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015F-4FD0-8FBB-1D29AF6CB16D}"/>
                </c:ext>
              </c:extLst>
            </c:dLbl>
            <c:dLbl>
              <c:idx val="1"/>
              <c:layout>
                <c:manualLayout>
                  <c:x val="-0.14964130498819464"/>
                  <c:y val="-5.259866391110419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015F-4FD0-8FBB-1D29AF6CB16D}"/>
                </c:ext>
              </c:extLst>
            </c:dLbl>
            <c:numFmt formatCode="#\ 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'OKodwrotnaXYZ (2)'!$D$24:$E$24</c:f>
              <c:numCache>
                <c:formatCode>#\ ##0.000</c:formatCode>
                <c:ptCount val="2"/>
                <c:pt idx="0">
                  <c:v>50</c:v>
                </c:pt>
                <c:pt idx="1">
                  <c:v>81.941345861825141</c:v>
                </c:pt>
              </c:numCache>
            </c:numRef>
          </c:xVal>
          <c:yVal>
            <c:numRef>
              <c:f>'OKodwrotnaXYZ (2)'!$D$25:$E$25</c:f>
              <c:numCache>
                <c:formatCode>#\ ##0.000</c:formatCode>
                <c:ptCount val="2"/>
                <c:pt idx="0">
                  <c:v>50</c:v>
                </c:pt>
                <c:pt idx="1">
                  <c:v>51.936601284535854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5F-4FD0-8FBB-1D29AF6CB16D}"/>
            </c:ext>
          </c:extLst>
        </c:ser>
        <c:ser>
          <c:idx val="2"/>
          <c:order val="2"/>
          <c:tx>
            <c:v>seg2</c:v>
          </c:tx>
          <c:spPr>
            <a:ln w="9525" cap="rnd">
              <a:solidFill>
                <a:srgbClr val="3399FF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3399FF"/>
              </a:solidFill>
              <a:ln w="9525" cap="rnd">
                <a:solidFill>
                  <a:srgbClr val="3399FF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'OKodwrotnaXYZ (2)'!$E$24:$F$24</c:f>
              <c:numCache>
                <c:formatCode>#\ ##0.000</c:formatCode>
                <c:ptCount val="2"/>
                <c:pt idx="0">
                  <c:v>81.941345861825141</c:v>
                </c:pt>
                <c:pt idx="1">
                  <c:v>127.89044951834063</c:v>
                </c:pt>
              </c:numCache>
            </c:numRef>
          </c:xVal>
          <c:yVal>
            <c:numRef>
              <c:f>'OKodwrotnaXYZ (2)'!$E$25:$F$25</c:f>
              <c:numCache>
                <c:formatCode>#\ ##0.000</c:formatCode>
                <c:ptCount val="2"/>
                <c:pt idx="0">
                  <c:v>51.936601284535854</c:v>
                </c:pt>
                <c:pt idx="1">
                  <c:v>54.722491821190729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5F-4FD0-8FBB-1D29AF6CB16D}"/>
            </c:ext>
          </c:extLst>
        </c:ser>
        <c:ser>
          <c:idx val="3"/>
          <c:order val="3"/>
          <c:tx>
            <c:v>Seg3</c:v>
          </c:tx>
          <c:spPr>
            <a:ln w="9525" cap="rnd">
              <a:solidFill>
                <a:srgbClr val="FF99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9900"/>
              </a:solidFill>
              <a:ln w="9525" cap="rnd">
                <a:solidFill>
                  <a:srgbClr val="FF99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'OKodwrotnaXYZ (2)'!$F$24:$G$24</c:f>
              <c:numCache>
                <c:formatCode>#\ ##0.000</c:formatCode>
                <c:ptCount val="2"/>
                <c:pt idx="0">
                  <c:v>127.89044951834063</c:v>
                </c:pt>
                <c:pt idx="1">
                  <c:v>177</c:v>
                </c:pt>
              </c:numCache>
            </c:numRef>
          </c:xVal>
          <c:yVal>
            <c:numRef>
              <c:f>'OKodwrotnaXYZ (2)'!$F$25:$G$25</c:f>
              <c:numCache>
                <c:formatCode>#\ ##0.000</c:formatCode>
                <c:ptCount val="2"/>
                <c:pt idx="0">
                  <c:v>54.722491821190729</c:v>
                </c:pt>
                <c:pt idx="1">
                  <c:v>57.699999999999996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15F-4FD0-8FBB-1D29AF6CB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06744"/>
        <c:axId val="479606424"/>
      </c:scatterChart>
      <c:valAx>
        <c:axId val="479606424"/>
        <c:scaling>
          <c:orientation val="minMax"/>
          <c:max val="2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#\ ##0.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9606744"/>
        <c:crossesAt val="0"/>
        <c:crossBetween val="midCat"/>
        <c:majorUnit val="50"/>
        <c:minorUnit val="5"/>
      </c:valAx>
      <c:valAx>
        <c:axId val="47960674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#\ 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9606424"/>
        <c:crossesAt val="0"/>
        <c:crossBetween val="midCat"/>
        <c:majorUnit val="50"/>
        <c:min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9314662912897"/>
          <c:y val="0.66600664132854603"/>
          <c:w val="0.18914482606655561"/>
          <c:h val="0.200259532747613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39700">
        <a:schemeClr val="accent5">
          <a:satMod val="175000"/>
          <a:alpha val="40000"/>
        </a:schemeClr>
      </a:glow>
      <a:softEdge rad="31750"/>
    </a:effectLst>
    <a:scene3d>
      <a:camera prst="orthographicFront"/>
      <a:lightRig rig="sunset" dir="t"/>
    </a:scene3d>
    <a:sp3d prstMaterial="dkEdge"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Plane </a:t>
            </a:r>
            <a:r>
              <a:rPr lang="en-US"/>
              <a:t>X</a:t>
            </a:r>
            <a:r>
              <a:rPr lang="pl-PL"/>
              <a:t>Z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xMode val="edge"/>
          <c:yMode val="edge"/>
          <c:x val="0"/>
          <c:y val="0"/>
          <c:w val="0.99986838641747822"/>
          <c:h val="0.94485294117647067"/>
        </c:manualLayout>
      </c:layout>
      <c:scatterChart>
        <c:scatterStyle val="lineMarker"/>
        <c:varyColors val="0"/>
        <c:ser>
          <c:idx val="1"/>
          <c:order val="0"/>
          <c:tx>
            <c:v>offset</c:v>
          </c:tx>
          <c:spPr>
            <a:ln w="9525" cap="rnd">
              <a:solidFill>
                <a:sysClr val="windowText" lastClr="0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1"/>
              </a:solidFill>
              <a:ln w="9525" cap="rnd">
                <a:solidFill>
                  <a:sysClr val="windowText" lastClr="00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'OKodwrotnaXYZ (2)'!$B$24:$D$24</c:f>
              <c:numCache>
                <c:formatCode>#\ ##0.000</c:formatCode>
                <c:ptCount val="3"/>
                <c:pt idx="0">
                  <c:v>0</c:v>
                </c:pt>
                <c:pt idx="1">
                  <c:v>50</c:v>
                </c:pt>
                <c:pt idx="2">
                  <c:v>50</c:v>
                </c:pt>
              </c:numCache>
            </c:numRef>
          </c:xVal>
          <c:yVal>
            <c:numRef>
              <c:f>'OKodwrotnaXYZ (2)'!$B$26:$D$26</c:f>
              <c:numCache>
                <c:formatCode>#\ ##0.000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1-438A-BC9A-CBB98E7E250B}"/>
            </c:ext>
          </c:extLst>
        </c:ser>
        <c:ser>
          <c:idx val="0"/>
          <c:order val="1"/>
          <c:tx>
            <c:v>Seg1</c:v>
          </c:tx>
          <c:spPr>
            <a:ln w="9525" cap="rnd">
              <a:solidFill>
                <a:srgbClr val="FF006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66"/>
              </a:solidFill>
              <a:ln w="9525" cap="rnd">
                <a:solidFill>
                  <a:srgbClr val="FF006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solidFill>
                  <a:srgbClr val="FF0066"/>
                </a:solidFill>
                <a:ln w="9525" cap="rnd">
                  <a:solidFill>
                    <a:srgbClr val="FF0066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661-438A-BC9A-CBB98E7E250B}"/>
              </c:ext>
            </c:extLst>
          </c:dPt>
          <c:dLbls>
            <c:dLbl>
              <c:idx val="0"/>
              <c:layout>
                <c:manualLayout>
                  <c:x val="-9.9760869992129714E-2"/>
                  <c:y val="3.944899793332808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A661-438A-BC9A-CBB98E7E250B}"/>
                </c:ext>
              </c:extLst>
            </c:dLbl>
            <c:dLbl>
              <c:idx val="1"/>
              <c:layout>
                <c:manualLayout>
                  <c:x val="-0.14964130498819464"/>
                  <c:y val="-5.259866391110419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A661-438A-BC9A-CBB98E7E250B}"/>
                </c:ext>
              </c:extLst>
            </c:dLbl>
            <c:numFmt formatCode="#\ 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'OKodwrotnaXYZ (2)'!$D$24:$E$24</c:f>
              <c:numCache>
                <c:formatCode>#\ ##0.000</c:formatCode>
                <c:ptCount val="2"/>
                <c:pt idx="0">
                  <c:v>50</c:v>
                </c:pt>
                <c:pt idx="1">
                  <c:v>81.941345861825141</c:v>
                </c:pt>
              </c:numCache>
            </c:numRef>
          </c:xVal>
          <c:yVal>
            <c:numRef>
              <c:f>'OKodwrotnaXYZ (2)'!$D$26:$E$26</c:f>
              <c:numCache>
                <c:formatCode>#\ ##0.000</c:formatCode>
                <c:ptCount val="2"/>
                <c:pt idx="0">
                  <c:v>-30</c:v>
                </c:pt>
                <c:pt idx="1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61-438A-BC9A-CBB98E7E250B}"/>
            </c:ext>
          </c:extLst>
        </c:ser>
        <c:ser>
          <c:idx val="2"/>
          <c:order val="2"/>
          <c:tx>
            <c:v>seg2</c:v>
          </c:tx>
          <c:spPr>
            <a:ln w="9525" cap="rnd">
              <a:solidFill>
                <a:srgbClr val="3399FF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3399FF"/>
              </a:solidFill>
              <a:ln w="9525" cap="rnd">
                <a:solidFill>
                  <a:srgbClr val="3399FF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'OKodwrotnaXYZ (2)'!$E$24:$F$24</c:f>
              <c:numCache>
                <c:formatCode>#\ ##0.000</c:formatCode>
                <c:ptCount val="2"/>
                <c:pt idx="0">
                  <c:v>81.941345861825141</c:v>
                </c:pt>
                <c:pt idx="1">
                  <c:v>127.89044951834063</c:v>
                </c:pt>
              </c:numCache>
            </c:numRef>
          </c:xVal>
          <c:yVal>
            <c:numRef>
              <c:f>'OKodwrotnaXYZ (2)'!$E$26:$F$26</c:f>
              <c:numCache>
                <c:formatCode>#\ ##0.000</c:formatCode>
                <c:ptCount val="2"/>
                <c:pt idx="0">
                  <c:v>-30</c:v>
                </c:pt>
                <c:pt idx="1">
                  <c:v>15.890289681811467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61-438A-BC9A-CBB98E7E250B}"/>
            </c:ext>
          </c:extLst>
        </c:ser>
        <c:ser>
          <c:idx val="3"/>
          <c:order val="3"/>
          <c:tx>
            <c:v>Seg3</c:v>
          </c:tx>
          <c:spPr>
            <a:ln w="9525" cap="rnd">
              <a:solidFill>
                <a:srgbClr val="FF99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9900"/>
              </a:solidFill>
              <a:ln w="9525" cap="rnd">
                <a:solidFill>
                  <a:srgbClr val="FF99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'OKodwrotnaXYZ (2)'!$F$24:$G$24</c:f>
              <c:numCache>
                <c:formatCode>#\ ##0.000</c:formatCode>
                <c:ptCount val="2"/>
                <c:pt idx="0">
                  <c:v>127.89044951834063</c:v>
                </c:pt>
                <c:pt idx="1">
                  <c:v>177</c:v>
                </c:pt>
              </c:numCache>
            </c:numRef>
          </c:xVal>
          <c:yVal>
            <c:numRef>
              <c:f>'OKodwrotnaXYZ (2)'!$F$26:$G$26</c:f>
              <c:numCache>
                <c:formatCode>#\ ##0.000</c:formatCode>
                <c:ptCount val="2"/>
                <c:pt idx="0">
                  <c:v>15.890289681811467</c:v>
                </c:pt>
                <c:pt idx="1">
                  <c:v>-78.000000000000014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61-438A-BC9A-CBB98E7E2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06744"/>
        <c:axId val="479606424"/>
      </c:scatterChart>
      <c:valAx>
        <c:axId val="479606424"/>
        <c:scaling>
          <c:orientation val="minMax"/>
          <c:max val="1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#\ ##0.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9606744"/>
        <c:crossesAt val="0"/>
        <c:crossBetween val="midCat"/>
        <c:majorUnit val="50"/>
        <c:minorUnit val="5"/>
      </c:valAx>
      <c:valAx>
        <c:axId val="47960674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#\ 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9606424"/>
        <c:crossesAt val="0"/>
        <c:crossBetween val="midCat"/>
        <c:majorUnit val="50"/>
        <c:min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9314662912897"/>
          <c:y val="0.66600664132854603"/>
          <c:w val="0.18914482606655561"/>
          <c:h val="0.200259532747613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39700">
        <a:schemeClr val="accent5">
          <a:satMod val="175000"/>
          <a:alpha val="40000"/>
        </a:schemeClr>
      </a:glow>
      <a:softEdge rad="31750"/>
    </a:effectLst>
    <a:scene3d>
      <a:camera prst="orthographicFront"/>
      <a:lightRig rig="sunset" dir="t"/>
    </a:scene3d>
    <a:sp3d prstMaterial="dkEdge"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8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176278" y="3900236"/>
    <xdr:ext cx="2446559" cy="563764"/>
    <xdr:pic>
      <xdr:nvPicPr>
        <xdr:cNvPr id="2" name="Image 4">
          <a:extLst>
            <a:ext uri="{FF2B5EF4-FFF2-40B4-BE49-F238E27FC236}">
              <a16:creationId xmlns:a16="http://schemas.microsoft.com/office/drawing/2014/main" id="{00000000-0000-0000-0000-00000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3176278" y="3900236"/>
          <a:ext cx="2446559" cy="563764"/>
        </a:xfrm>
        <a:prstGeom prst="rect">
          <a:avLst/>
        </a:prstGeom>
        <a:noFill/>
        <a:ln cap="flat">
          <a:noFill/>
        </a:ln>
      </xdr:spPr>
    </xdr:pic>
    <xdr:clientData/>
  </xdr:absoluteAnchor>
  <xdr:oneCellAnchor>
    <xdr:from>
      <xdr:col>7</xdr:col>
      <xdr:colOff>129963</xdr:colOff>
      <xdr:row>2</xdr:row>
      <xdr:rowOff>50035</xdr:rowOff>
    </xdr:from>
    <xdr:ext cx="5469483" cy="5907956"/>
    <xdr:graphicFrame macro="">
      <xdr:nvGraphicFramePr>
        <xdr:cNvPr id="6" name="Wykres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absoluteAnchor>
    <xdr:pos x="11425684" y="2355841"/>
    <xdr:ext cx="5174278" cy="3368155"/>
    <xdr:pic>
      <xdr:nvPicPr>
        <xdr:cNvPr id="3" name="Image 2">
          <a:extLst>
            <a:ext uri="{FF2B5EF4-FFF2-40B4-BE49-F238E27FC236}">
              <a16:creationId xmlns:a16="http://schemas.microsoft.com/office/drawing/2014/main" id="{00000000-0000-0000-0000-00000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lum/>
          <a:alphaModFix/>
        </a:blip>
        <a:srcRect/>
        <a:stretch>
          <a:fillRect/>
        </a:stretch>
      </xdr:blipFill>
      <xdr:spPr>
        <a:xfrm>
          <a:off x="11425684" y="2355841"/>
          <a:ext cx="5174278" cy="3368155"/>
        </a:xfrm>
        <a:prstGeom prst="rect">
          <a:avLst/>
        </a:prstGeom>
        <a:noFill/>
        <a:ln cap="flat">
          <a:noFill/>
        </a:ln>
      </xdr:spPr>
    </xdr:pic>
    <xdr:clientData/>
  </xdr:absoluteAnchor>
  <xdr:absoluteAnchor>
    <xdr:pos x="11775597" y="-6839"/>
    <xdr:ext cx="5571000" cy="3234964"/>
    <xdr:pic>
      <xdr:nvPicPr>
        <xdr:cNvPr id="4" name="Image 1">
          <a:extLst>
            <a:ext uri="{FF2B5EF4-FFF2-40B4-BE49-F238E27FC236}">
              <a16:creationId xmlns:a16="http://schemas.microsoft.com/office/drawing/2014/main" id="{00000000-0000-0000-0000-00000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lum/>
          <a:alphaModFix/>
        </a:blip>
        <a:srcRect/>
        <a:stretch>
          <a:fillRect/>
        </a:stretch>
      </xdr:blipFill>
      <xdr:spPr>
        <a:xfrm>
          <a:off x="11775597" y="-6839"/>
          <a:ext cx="5571000" cy="3234964"/>
        </a:xfrm>
        <a:prstGeom prst="rect">
          <a:avLst/>
        </a:prstGeom>
        <a:noFill/>
        <a:ln cap="flat">
          <a:noFill/>
        </a:ln>
      </xdr:spPr>
    </xdr:pic>
    <xdr:clientData/>
  </xdr:absoluteAnchor>
  <xdr:absoluteAnchor>
    <xdr:pos x="11807638" y="3177357"/>
    <xdr:ext cx="5336639" cy="2979362"/>
    <xdr:pic>
      <xdr:nvPicPr>
        <xdr:cNvPr id="5" name="Image 3">
          <a:extLst>
            <a:ext uri="{FF2B5EF4-FFF2-40B4-BE49-F238E27FC236}">
              <a16:creationId xmlns:a16="http://schemas.microsoft.com/office/drawing/2014/main" id="{00000000-0000-0000-0000-00000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lum/>
          <a:alphaModFix/>
        </a:blip>
        <a:srcRect/>
        <a:stretch>
          <a:fillRect/>
        </a:stretch>
      </xdr:blipFill>
      <xdr:spPr>
        <a:xfrm>
          <a:off x="11807638" y="3177357"/>
          <a:ext cx="5336639" cy="2979362"/>
        </a:xfrm>
        <a:prstGeom prst="rect">
          <a:avLst/>
        </a:prstGeom>
        <a:noFill/>
        <a:ln cap="flat">
          <a:noFill/>
        </a:ln>
      </xdr:spPr>
    </xdr:pic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157353" y="5395661"/>
    <xdr:ext cx="2446559" cy="563764"/>
    <xdr:pic>
      <xdr:nvPicPr>
        <xdr:cNvPr id="2" name="Image 4">
          <a:extLst>
            <a:ext uri="{FF2B5EF4-FFF2-40B4-BE49-F238E27FC236}">
              <a16:creationId xmlns:a16="http://schemas.microsoft.com/office/drawing/2014/main" id="{00000000-0000-0000-0000-00000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4157353" y="5395661"/>
          <a:ext cx="2446559" cy="563764"/>
        </a:xfrm>
        <a:prstGeom prst="rect">
          <a:avLst/>
        </a:prstGeom>
        <a:noFill/>
        <a:ln cap="flat">
          <a:noFill/>
        </a:ln>
      </xdr:spPr>
    </xdr:pic>
    <xdr:clientData/>
  </xdr:absoluteAnchor>
  <xdr:absoluteAnchor>
    <xdr:pos x="13778359" y="241291"/>
    <xdr:ext cx="5174278" cy="3368155"/>
    <xdr:pic>
      <xdr:nvPicPr>
        <xdr:cNvPr id="3" name="Image 2">
          <a:extLst>
            <a:ext uri="{FF2B5EF4-FFF2-40B4-BE49-F238E27FC236}">
              <a16:creationId xmlns:a16="http://schemas.microsoft.com/office/drawing/2014/main" id="{00000000-0000-0000-0000-00000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/>
          <a:alphaModFix/>
        </a:blip>
        <a:srcRect/>
        <a:stretch>
          <a:fillRect/>
        </a:stretch>
      </xdr:blipFill>
      <xdr:spPr>
        <a:xfrm>
          <a:off x="13778359" y="241291"/>
          <a:ext cx="5174278" cy="3368155"/>
        </a:xfrm>
        <a:prstGeom prst="rect">
          <a:avLst/>
        </a:prstGeom>
        <a:noFill/>
        <a:ln cap="flat">
          <a:noFill/>
        </a:ln>
      </xdr:spPr>
    </xdr:pic>
    <xdr:clientData/>
  </xdr:absoluteAnchor>
  <xdr:absoluteAnchor>
    <xdr:pos x="6369124" y="3749324"/>
    <xdr:ext cx="5571000" cy="3234964"/>
    <xdr:pic>
      <xdr:nvPicPr>
        <xdr:cNvPr id="4" name="Image 1">
          <a:extLst>
            <a:ext uri="{FF2B5EF4-FFF2-40B4-BE49-F238E27FC236}">
              <a16:creationId xmlns:a16="http://schemas.microsoft.com/office/drawing/2014/main" id="{00000000-0000-0000-0000-00000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lum/>
          <a:alphaModFix/>
        </a:blip>
        <a:srcRect/>
        <a:stretch>
          <a:fillRect/>
        </a:stretch>
      </xdr:blipFill>
      <xdr:spPr>
        <a:xfrm>
          <a:off x="6369124" y="3749324"/>
          <a:ext cx="5571000" cy="3234964"/>
        </a:xfrm>
        <a:prstGeom prst="rect">
          <a:avLst/>
        </a:prstGeom>
        <a:noFill/>
        <a:ln cap="flat">
          <a:noFill/>
        </a:ln>
      </xdr:spPr>
    </xdr:pic>
    <xdr:clientData/>
  </xdr:absoluteAnchor>
  <xdr:absoluteAnchor>
    <xdr:pos x="8123972" y="6072508"/>
    <xdr:ext cx="5336639" cy="2979362"/>
    <xdr:pic>
      <xdr:nvPicPr>
        <xdr:cNvPr id="5" name="Image 3">
          <a:extLst>
            <a:ext uri="{FF2B5EF4-FFF2-40B4-BE49-F238E27FC236}">
              <a16:creationId xmlns:a16="http://schemas.microsoft.com/office/drawing/2014/main" id="{00000000-0000-0000-0000-00000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lum/>
          <a:alphaModFix/>
        </a:blip>
        <a:srcRect/>
        <a:stretch>
          <a:fillRect/>
        </a:stretch>
      </xdr:blipFill>
      <xdr:spPr>
        <a:xfrm>
          <a:off x="8123972" y="6072508"/>
          <a:ext cx="5336639" cy="2979362"/>
        </a:xfrm>
        <a:prstGeom prst="rect">
          <a:avLst/>
        </a:prstGeom>
        <a:noFill/>
        <a:ln cap="flat">
          <a:noFill/>
        </a:ln>
      </xdr:spPr>
    </xdr:pic>
    <xdr:clientData/>
  </xdr:absoluteAnchor>
  <xdr:absoluteAnchor>
    <xdr:pos x="7270723" y="205575"/>
    <xdr:ext cx="1139397" cy="532080"/>
    <xdr:pic>
      <xdr:nvPicPr>
        <xdr:cNvPr id="7" name="Image 5">
          <a:extLst>
            <a:ext uri="{FF2B5EF4-FFF2-40B4-BE49-F238E27FC236}">
              <a16:creationId xmlns:a16="http://schemas.microsoft.com/office/drawing/2014/main" id="{00000000-0000-0000-0000-00000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lum/>
          <a:alphaModFix/>
        </a:blip>
        <a:srcRect/>
        <a:stretch>
          <a:fillRect/>
        </a:stretch>
      </xdr:blipFill>
      <xdr:spPr>
        <a:xfrm>
          <a:off x="7270723" y="205575"/>
          <a:ext cx="1139397" cy="532080"/>
        </a:xfrm>
        <a:prstGeom prst="rect">
          <a:avLst/>
        </a:prstGeom>
        <a:noFill/>
        <a:ln cap="flat">
          <a:noFill/>
        </a:ln>
      </xdr:spPr>
    </xdr:pic>
    <xdr:clientData/>
  </xdr:absoluteAnchor>
  <xdr:oneCellAnchor>
    <xdr:from>
      <xdr:col>6</xdr:col>
      <xdr:colOff>546653</xdr:colOff>
      <xdr:row>0</xdr:row>
      <xdr:rowOff>29232</xdr:rowOff>
    </xdr:from>
    <xdr:ext cx="3576138" cy="3424616"/>
    <xdr:graphicFrame macro="">
      <xdr:nvGraphicFramePr>
        <xdr:cNvPr id="8" name="Wykres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4</xdr:col>
          <xdr:colOff>733425</xdr:colOff>
          <xdr:row>2</xdr:row>
          <xdr:rowOff>15323</xdr:rowOff>
        </xdr:to>
        <xdr:sp macro="" textlink="">
          <xdr:nvSpPr>
            <xdr:cNvPr id="3077" name="ScrollBar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4</xdr:col>
          <xdr:colOff>742950</xdr:colOff>
          <xdr:row>3</xdr:row>
          <xdr:rowOff>15322</xdr:rowOff>
        </xdr:to>
        <xdr:sp macro="" textlink="">
          <xdr:nvSpPr>
            <xdr:cNvPr id="3078" name="ScrollBar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9525</xdr:rowOff>
        </xdr:from>
        <xdr:to>
          <xdr:col>4</xdr:col>
          <xdr:colOff>752475</xdr:colOff>
          <xdr:row>4</xdr:row>
          <xdr:rowOff>24848</xdr:rowOff>
        </xdr:to>
        <xdr:sp macro="" textlink="">
          <xdr:nvSpPr>
            <xdr:cNvPr id="3079" name="ScrollBar3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256761</xdr:colOff>
      <xdr:row>0</xdr:row>
      <xdr:rowOff>74544</xdr:rowOff>
    </xdr:from>
    <xdr:ext cx="3576138" cy="3424616"/>
    <xdr:graphicFrame macro="">
      <xdr:nvGraphicFramePr>
        <xdr:cNvPr id="12" name="Wykres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</xdr:row>
          <xdr:rowOff>95250</xdr:rowOff>
        </xdr:from>
        <xdr:to>
          <xdr:col>13</xdr:col>
          <xdr:colOff>209550</xdr:colOff>
          <xdr:row>9</xdr:row>
          <xdr:rowOff>76200</xdr:rowOff>
        </xdr:to>
        <xdr:sp macro="" textlink="">
          <xdr:nvSpPr>
            <xdr:cNvPr id="6145" name="ScrollBar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33"/>
  <sheetViews>
    <sheetView workbookViewId="0">
      <selection activeCell="D33" sqref="D33"/>
    </sheetView>
  </sheetViews>
  <sheetFormatPr defaultRowHeight="14.25"/>
  <cols>
    <col min="1" max="1" width="13.75" style="1" customWidth="1"/>
    <col min="2" max="1023" width="10.625" style="1" customWidth="1"/>
    <col min="1024" max="1024" width="9" style="1" customWidth="1"/>
    <col min="1025" max="1025" width="9" customWidth="1"/>
  </cols>
  <sheetData>
    <row r="3" spans="1:3" ht="15">
      <c r="B3" s="2"/>
    </row>
    <row r="4" spans="1:3" ht="15">
      <c r="B4" s="2"/>
    </row>
    <row r="5" spans="1:3" ht="15">
      <c r="A5" s="1" t="s">
        <v>0</v>
      </c>
      <c r="B5" s="2">
        <v>50</v>
      </c>
      <c r="C5">
        <f>B5^2</f>
        <v>2500</v>
      </c>
    </row>
    <row r="6" spans="1:3" ht="15">
      <c r="A6" s="1" t="s">
        <v>1</v>
      </c>
      <c r="B6" s="2">
        <v>50</v>
      </c>
      <c r="C6">
        <f>B6^2</f>
        <v>2500</v>
      </c>
    </row>
    <row r="8" spans="1:3" ht="15">
      <c r="A8" s="1" t="s">
        <v>2</v>
      </c>
      <c r="B8" s="2">
        <v>50</v>
      </c>
      <c r="C8">
        <f>B8^2</f>
        <v>2500</v>
      </c>
    </row>
    <row r="9" spans="1:3" ht="15">
      <c r="A9" s="1" t="s">
        <v>3</v>
      </c>
      <c r="B9" s="2">
        <v>0</v>
      </c>
      <c r="C9">
        <f>B9^2</f>
        <v>0</v>
      </c>
    </row>
    <row r="10" spans="1:3" ht="15">
      <c r="B10" s="2"/>
    </row>
    <row r="12" spans="1:3" ht="15">
      <c r="A12" s="3"/>
      <c r="C12" s="3"/>
    </row>
    <row r="13" spans="1:3">
      <c r="A13" s="1" t="s">
        <v>4</v>
      </c>
      <c r="B13" s="1">
        <f>(C8+C9-C5-C6)/(2*B5*B6)</f>
        <v>-0.5</v>
      </c>
    </row>
    <row r="14" spans="1:3">
      <c r="A14" s="1" t="s">
        <v>5</v>
      </c>
      <c r="B14" s="1">
        <f>SQRT(1-B13^2)</f>
        <v>0.8660254037844386</v>
      </c>
    </row>
    <row r="15" spans="1:3" ht="15">
      <c r="A15" s="3" t="s">
        <v>6</v>
      </c>
      <c r="B15" s="1">
        <f>ATAN2(B8,B9)-ATAN2(B5+B6*B13,B6*B14)</f>
        <v>-1.0471975511965976</v>
      </c>
      <c r="C15" s="3">
        <f>DEGREES(B15)</f>
        <v>-59.999999999999993</v>
      </c>
    </row>
    <row r="16" spans="1:3" ht="15">
      <c r="A16" s="3" t="s">
        <v>7</v>
      </c>
      <c r="B16" s="1">
        <f>ATAN2(B13,B14)</f>
        <v>2.0943951023931957</v>
      </c>
      <c r="C16" s="3">
        <f>DEGREES(B16)</f>
        <v>120.00000000000001</v>
      </c>
    </row>
    <row r="18" spans="1:4">
      <c r="A18" s="1" t="s">
        <v>4</v>
      </c>
      <c r="B18" s="1">
        <f>B13</f>
        <v>-0.5</v>
      </c>
    </row>
    <row r="19" spans="1:4">
      <c r="A19" s="1" t="s">
        <v>5</v>
      </c>
      <c r="B19" s="1">
        <f>-B14</f>
        <v>-0.8660254037844386</v>
      </c>
      <c r="C19"/>
    </row>
    <row r="20" spans="1:4" ht="15">
      <c r="A20" s="3" t="s">
        <v>8</v>
      </c>
      <c r="B20" s="1">
        <f>ATAN2(B8,B9)-ATAN2(B5+B6*B18,B6*B19)</f>
        <v>1.0471975511965976</v>
      </c>
      <c r="C20" s="3">
        <f>DEGREES(B20)</f>
        <v>59.999999999999993</v>
      </c>
      <c r="D20" s="1" t="s">
        <v>9</v>
      </c>
    </row>
    <row r="21" spans="1:4" ht="15">
      <c r="A21" s="3" t="s">
        <v>7</v>
      </c>
      <c r="B21" s="1">
        <f>ATAN2(B18,B19)</f>
        <v>-2.0943951023931957</v>
      </c>
      <c r="C21" s="3">
        <f>DEGREES(B21)</f>
        <v>-120.00000000000001</v>
      </c>
    </row>
    <row r="22" spans="1:4">
      <c r="A22"/>
      <c r="B22"/>
    </row>
    <row r="23" spans="1:4">
      <c r="A23"/>
      <c r="B23"/>
    </row>
    <row r="24" spans="1:4">
      <c r="A24"/>
      <c r="B24"/>
      <c r="C24"/>
    </row>
    <row r="25" spans="1:4">
      <c r="A25"/>
      <c r="B25"/>
      <c r="C25"/>
      <c r="D25" s="1" t="s">
        <v>9</v>
      </c>
    </row>
    <row r="29" spans="1:4">
      <c r="A29" s="1" t="s">
        <v>10</v>
      </c>
      <c r="B29" s="1">
        <v>0</v>
      </c>
      <c r="C29" s="1">
        <f>B5*COS(B15)</f>
        <v>25.000000000000007</v>
      </c>
      <c r="D29" s="1">
        <f>C29+B6*COS(B15+B16)</f>
        <v>49.999999999999993</v>
      </c>
    </row>
    <row r="30" spans="1:4">
      <c r="A30" s="1" t="s">
        <v>11</v>
      </c>
      <c r="B30" s="1">
        <v>0</v>
      </c>
      <c r="C30" s="1">
        <f>B5*SIN(B15)</f>
        <v>-43.301270189221931</v>
      </c>
      <c r="D30" s="1">
        <f>C30+B6*SIN(B15+B16)</f>
        <v>0</v>
      </c>
    </row>
    <row r="32" spans="1:4">
      <c r="A32" s="1" t="s">
        <v>10</v>
      </c>
      <c r="B32" s="1">
        <v>0</v>
      </c>
      <c r="C32" s="1">
        <f>B5*COS(B20)</f>
        <v>25.000000000000007</v>
      </c>
      <c r="D32" s="1">
        <f>C32+B6*COS(B20+B21)</f>
        <v>49.999999999999993</v>
      </c>
    </row>
    <row r="33" spans="1:4">
      <c r="A33" s="1" t="s">
        <v>11</v>
      </c>
      <c r="B33" s="1">
        <v>0</v>
      </c>
      <c r="C33" s="1">
        <f>B5*SIN(B20)</f>
        <v>43.301270189221931</v>
      </c>
      <c r="D33" s="1">
        <f>C33+B6*SIN(B20+B21)</f>
        <v>0</v>
      </c>
    </row>
  </sheetData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MK42"/>
  <sheetViews>
    <sheetView tabSelected="1" zoomScale="115" zoomScaleNormal="115" workbookViewId="0">
      <selection activeCell="B4" sqref="B4"/>
    </sheetView>
  </sheetViews>
  <sheetFormatPr defaultRowHeight="12.75"/>
  <cols>
    <col min="1" max="1" width="14.75" style="7" bestFit="1" customWidth="1"/>
    <col min="2" max="1023" width="10.625" style="7" customWidth="1"/>
    <col min="1024" max="1024" width="9" style="7" customWidth="1"/>
    <col min="1025" max="1025" width="9" style="9" customWidth="1"/>
    <col min="1026" max="16384" width="9" style="9"/>
  </cols>
  <sheetData>
    <row r="1" spans="1:9">
      <c r="F1" s="8" t="s">
        <v>50</v>
      </c>
      <c r="G1" s="8" t="s">
        <v>51</v>
      </c>
    </row>
    <row r="2" spans="1:9">
      <c r="A2" s="7" t="s">
        <v>2</v>
      </c>
      <c r="B2" s="25">
        <v>177</v>
      </c>
      <c r="F2" s="8">
        <v>50</v>
      </c>
      <c r="G2" s="8">
        <v>250</v>
      </c>
      <c r="I2" s="7" t="s">
        <v>2</v>
      </c>
    </row>
    <row r="3" spans="1:9">
      <c r="A3" s="7" t="s">
        <v>3</v>
      </c>
      <c r="B3" s="25">
        <v>57.7</v>
      </c>
      <c r="F3" s="8">
        <v>-100</v>
      </c>
      <c r="G3" s="8">
        <v>100</v>
      </c>
      <c r="I3" s="7" t="s">
        <v>3</v>
      </c>
    </row>
    <row r="4" spans="1:9">
      <c r="A4" s="7" t="s">
        <v>12</v>
      </c>
      <c r="B4" s="25">
        <v>-78</v>
      </c>
      <c r="F4" s="8">
        <v>50</v>
      </c>
      <c r="G4" s="8">
        <v>-200</v>
      </c>
      <c r="I4" s="7" t="s">
        <v>2</v>
      </c>
    </row>
    <row r="5" spans="1:9">
      <c r="A5" s="7" t="s">
        <v>35</v>
      </c>
      <c r="B5" s="23">
        <f>ATAN2(destX,destY)</f>
        <v>0.31512588487445276</v>
      </c>
      <c r="C5" s="23">
        <f>DEGREES(B5)</f>
        <v>18.055383218631608</v>
      </c>
      <c r="E5" s="7" t="s">
        <v>52</v>
      </c>
    </row>
    <row r="6" spans="1:9">
      <c r="E6" s="7">
        <f>SQRT(POWER(pXFromO2,2)+POWER(pYFromO2,2)+POWER(pZFromO2,2))-(Length1+Length2)</f>
        <v>-64.354022620098036</v>
      </c>
    </row>
    <row r="7" spans="1:9">
      <c r="A7" s="7" t="s">
        <v>30</v>
      </c>
      <c r="B7" s="24">
        <v>50</v>
      </c>
    </row>
    <row r="8" spans="1:9">
      <c r="A8" s="7" t="s">
        <v>31</v>
      </c>
      <c r="B8" s="24">
        <v>50</v>
      </c>
    </row>
    <row r="9" spans="1:9">
      <c r="A9" s="7" t="s">
        <v>32</v>
      </c>
      <c r="B9" s="24">
        <v>-30</v>
      </c>
    </row>
    <row r="10" spans="1:9">
      <c r="A10" s="7" t="s">
        <v>40</v>
      </c>
      <c r="B10" s="23">
        <f>ATAN2(offsetX,offsetY)</f>
        <v>0.78539816339744828</v>
      </c>
      <c r="C10" s="23">
        <f>DEGREES(B10)</f>
        <v>45</v>
      </c>
      <c r="D10" s="7" t="s">
        <v>15</v>
      </c>
    </row>
    <row r="12" spans="1:9">
      <c r="A12" s="7" t="s">
        <v>28</v>
      </c>
      <c r="B12" s="24">
        <v>32</v>
      </c>
      <c r="D12" s="26">
        <v>32</v>
      </c>
    </row>
    <row r="13" spans="1:9">
      <c r="A13" s="7" t="s">
        <v>0</v>
      </c>
      <c r="B13" s="24">
        <v>65</v>
      </c>
      <c r="D13" s="26">
        <v>65</v>
      </c>
      <c r="E13" s="7">
        <f>DEGREES(ATAN2(150,20))</f>
        <v>7.594643368591445</v>
      </c>
    </row>
    <row r="14" spans="1:9">
      <c r="A14" s="7" t="s">
        <v>1</v>
      </c>
      <c r="B14" s="24">
        <v>106</v>
      </c>
      <c r="D14" s="26">
        <v>106</v>
      </c>
    </row>
    <row r="17" spans="1:1025">
      <c r="A17" s="7" t="s">
        <v>36</v>
      </c>
      <c r="B17" s="23">
        <f>destX-offsetX</f>
        <v>127</v>
      </c>
    </row>
    <row r="18" spans="1:1025">
      <c r="A18" s="7" t="s">
        <v>37</v>
      </c>
      <c r="B18" s="23">
        <f>destY-offsetY</f>
        <v>7.7000000000000028</v>
      </c>
    </row>
    <row r="19" spans="1:1025">
      <c r="A19" s="7" t="s">
        <v>38</v>
      </c>
      <c r="B19" s="23">
        <f>destZ-offsetZ</f>
        <v>-48</v>
      </c>
    </row>
    <row r="20" spans="1:1025">
      <c r="A20" s="7" t="s">
        <v>39</v>
      </c>
      <c r="B20" s="23">
        <f>theta0</f>
        <v>6.0555793079934549E-2</v>
      </c>
      <c r="C20" s="27" t="str">
        <f>ROUND(DEGREES(B20),1)&amp;"st"</f>
        <v>3.5st</v>
      </c>
      <c r="D20" s="6" t="s">
        <v>9</v>
      </c>
    </row>
    <row r="22" spans="1:1025">
      <c r="A22" s="10" t="s">
        <v>33</v>
      </c>
      <c r="B22" s="23">
        <f>theta0</f>
        <v>6.0555793079934549E-2</v>
      </c>
      <c r="C22" s="27" t="str">
        <f>ROUND(DEGREES(B22),1)&amp;"st"</f>
        <v>3.5st</v>
      </c>
      <c r="D22" s="6" t="s">
        <v>9</v>
      </c>
    </row>
    <row r="23" spans="1:1025" s="13" customFormat="1" ht="13.5" thickBot="1">
      <c r="A23" s="11"/>
      <c r="B23" s="11"/>
      <c r="C23" s="11"/>
      <c r="D23" s="12" t="s">
        <v>44</v>
      </c>
      <c r="E23" s="12" t="s">
        <v>45</v>
      </c>
      <c r="F23" s="12" t="s">
        <v>48</v>
      </c>
      <c r="G23" s="12" t="s">
        <v>49</v>
      </c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  <c r="LF23" s="11"/>
      <c r="LG23" s="11"/>
      <c r="LH23" s="11"/>
      <c r="LI23" s="11"/>
      <c r="LJ23" s="11"/>
      <c r="LK23" s="11"/>
      <c r="LL23" s="11"/>
      <c r="LM23" s="11"/>
      <c r="LN23" s="11"/>
      <c r="LO23" s="11"/>
      <c r="LP23" s="11"/>
      <c r="LQ23" s="11"/>
      <c r="LR23" s="11"/>
      <c r="LS23" s="11"/>
      <c r="LT23" s="11"/>
      <c r="LU23" s="11"/>
      <c r="LV23" s="11"/>
      <c r="LW23" s="11"/>
      <c r="LX23" s="11"/>
      <c r="LY23" s="11"/>
      <c r="LZ23" s="11"/>
      <c r="MA23" s="11"/>
      <c r="MB23" s="11"/>
      <c r="MC23" s="11"/>
      <c r="MD23" s="11"/>
      <c r="ME23" s="11"/>
      <c r="MF23" s="11"/>
      <c r="MG23" s="11"/>
      <c r="MH23" s="11"/>
      <c r="MI23" s="11"/>
      <c r="MJ23" s="11"/>
      <c r="MK23" s="11"/>
      <c r="ML23" s="11"/>
      <c r="MM23" s="11"/>
      <c r="MN23" s="11"/>
      <c r="MO23" s="11"/>
      <c r="MP23" s="11"/>
      <c r="MQ23" s="11"/>
      <c r="MR23" s="11"/>
      <c r="MS23" s="11"/>
      <c r="MT23" s="11"/>
      <c r="MU23" s="11"/>
      <c r="MV23" s="11"/>
      <c r="MW23" s="11"/>
      <c r="MX23" s="11"/>
      <c r="MY23" s="11"/>
      <c r="MZ23" s="11"/>
      <c r="NA23" s="11"/>
      <c r="NB23" s="11"/>
      <c r="NC23" s="11"/>
      <c r="ND23" s="11"/>
      <c r="NE23" s="11"/>
      <c r="NF23" s="11"/>
      <c r="NG23" s="11"/>
      <c r="NH23" s="11"/>
      <c r="NI23" s="11"/>
      <c r="NJ23" s="11"/>
      <c r="NK23" s="11"/>
      <c r="NL23" s="11"/>
      <c r="NM23" s="11"/>
      <c r="NN23" s="11"/>
      <c r="NO23" s="11"/>
      <c r="NP23" s="11"/>
      <c r="NQ23" s="11"/>
      <c r="NR23" s="11"/>
      <c r="NS23" s="11"/>
      <c r="NT23" s="11"/>
      <c r="NU23" s="11"/>
      <c r="NV23" s="11"/>
      <c r="NW23" s="11"/>
      <c r="NX23" s="11"/>
      <c r="NY23" s="11"/>
      <c r="NZ23" s="11"/>
      <c r="OA23" s="11"/>
      <c r="OB23" s="11"/>
      <c r="OC23" s="11"/>
      <c r="OD23" s="11"/>
      <c r="OE23" s="11"/>
      <c r="OF23" s="11"/>
      <c r="OG23" s="11"/>
      <c r="OH23" s="11"/>
      <c r="OI23" s="11"/>
      <c r="OJ23" s="11"/>
      <c r="OK23" s="11"/>
      <c r="OL23" s="11"/>
      <c r="OM23" s="11"/>
      <c r="ON23" s="11"/>
      <c r="OO23" s="11"/>
      <c r="OP23" s="11"/>
      <c r="OQ23" s="11"/>
      <c r="OR23" s="11"/>
      <c r="OS23" s="11"/>
      <c r="OT23" s="11"/>
      <c r="OU23" s="11"/>
      <c r="OV23" s="11"/>
      <c r="OW23" s="11"/>
      <c r="OX23" s="11"/>
      <c r="OY23" s="11"/>
      <c r="OZ23" s="11"/>
      <c r="PA23" s="11"/>
      <c r="PB23" s="11"/>
      <c r="PC23" s="11"/>
      <c r="PD23" s="11"/>
      <c r="PE23" s="11"/>
      <c r="PF23" s="11"/>
      <c r="PG23" s="11"/>
      <c r="PH23" s="11"/>
      <c r="PI23" s="11"/>
      <c r="PJ23" s="11"/>
      <c r="PK23" s="11"/>
      <c r="PL23" s="11"/>
      <c r="PM23" s="11"/>
      <c r="PN23" s="11"/>
      <c r="PO23" s="11"/>
      <c r="PP23" s="11"/>
      <c r="PQ23" s="11"/>
      <c r="PR23" s="11"/>
      <c r="PS23" s="11"/>
      <c r="PT23" s="11"/>
      <c r="PU23" s="11"/>
      <c r="PV23" s="11"/>
      <c r="PW23" s="11"/>
      <c r="PX23" s="11"/>
      <c r="PY23" s="11"/>
      <c r="PZ23" s="11"/>
      <c r="QA23" s="11"/>
      <c r="QB23" s="11"/>
      <c r="QC23" s="11"/>
      <c r="QD23" s="11"/>
      <c r="QE23" s="11"/>
      <c r="QF23" s="11"/>
      <c r="QG23" s="11"/>
      <c r="QH23" s="11"/>
      <c r="QI23" s="11"/>
      <c r="QJ23" s="11"/>
      <c r="QK23" s="11"/>
      <c r="QL23" s="11"/>
      <c r="QM23" s="11"/>
      <c r="QN23" s="11"/>
      <c r="QO23" s="11"/>
      <c r="QP23" s="11"/>
      <c r="QQ23" s="11"/>
      <c r="QR23" s="11"/>
      <c r="QS23" s="11"/>
      <c r="QT23" s="11"/>
      <c r="QU23" s="11"/>
      <c r="QV23" s="11"/>
      <c r="QW23" s="11"/>
      <c r="QX23" s="11"/>
      <c r="QY23" s="11"/>
      <c r="QZ23" s="11"/>
      <c r="RA23" s="11"/>
      <c r="RB23" s="11"/>
      <c r="RC23" s="11"/>
      <c r="RD23" s="11"/>
      <c r="RE23" s="11"/>
      <c r="RF23" s="11"/>
      <c r="RG23" s="11"/>
      <c r="RH23" s="11"/>
      <c r="RI23" s="11"/>
      <c r="RJ23" s="11"/>
      <c r="RK23" s="11"/>
      <c r="RL23" s="11"/>
      <c r="RM23" s="11"/>
      <c r="RN23" s="11"/>
      <c r="RO23" s="11"/>
      <c r="RP23" s="11"/>
      <c r="RQ23" s="11"/>
      <c r="RR23" s="11"/>
      <c r="RS23" s="11"/>
      <c r="RT23" s="11"/>
      <c r="RU23" s="11"/>
      <c r="RV23" s="11"/>
      <c r="RW23" s="11"/>
      <c r="RX23" s="11"/>
      <c r="RY23" s="11"/>
      <c r="RZ23" s="11"/>
      <c r="SA23" s="11"/>
      <c r="SB23" s="11"/>
      <c r="SC23" s="11"/>
      <c r="SD23" s="11"/>
      <c r="SE23" s="11"/>
      <c r="SF23" s="11"/>
      <c r="SG23" s="11"/>
      <c r="SH23" s="11"/>
      <c r="SI23" s="11"/>
      <c r="SJ23" s="11"/>
      <c r="SK23" s="11"/>
      <c r="SL23" s="11"/>
      <c r="SM23" s="11"/>
      <c r="SN23" s="11"/>
      <c r="SO23" s="11"/>
      <c r="SP23" s="11"/>
      <c r="SQ23" s="11"/>
      <c r="SR23" s="11"/>
      <c r="SS23" s="11"/>
      <c r="ST23" s="11"/>
      <c r="SU23" s="11"/>
      <c r="SV23" s="11"/>
      <c r="SW23" s="11"/>
      <c r="SX23" s="11"/>
      <c r="SY23" s="11"/>
      <c r="SZ23" s="11"/>
      <c r="TA23" s="11"/>
      <c r="TB23" s="11"/>
      <c r="TC23" s="11"/>
      <c r="TD23" s="11"/>
      <c r="TE23" s="11"/>
      <c r="TF23" s="11"/>
      <c r="TG23" s="11"/>
      <c r="TH23" s="11"/>
      <c r="TI23" s="11"/>
      <c r="TJ23" s="11"/>
      <c r="TK23" s="11"/>
      <c r="TL23" s="11"/>
      <c r="TM23" s="11"/>
      <c r="TN23" s="11"/>
      <c r="TO23" s="11"/>
      <c r="TP23" s="11"/>
      <c r="TQ23" s="11"/>
      <c r="TR23" s="11"/>
      <c r="TS23" s="11"/>
      <c r="TT23" s="11"/>
      <c r="TU23" s="11"/>
      <c r="TV23" s="11"/>
      <c r="TW23" s="11"/>
      <c r="TX23" s="11"/>
      <c r="TY23" s="11"/>
      <c r="TZ23" s="11"/>
      <c r="UA23" s="11"/>
      <c r="UB23" s="11"/>
      <c r="UC23" s="11"/>
      <c r="UD23" s="11"/>
      <c r="UE23" s="11"/>
      <c r="UF23" s="11"/>
      <c r="UG23" s="11"/>
      <c r="UH23" s="11"/>
      <c r="UI23" s="11"/>
      <c r="UJ23" s="11"/>
      <c r="UK23" s="11"/>
      <c r="UL23" s="11"/>
      <c r="UM23" s="11"/>
      <c r="UN23" s="11"/>
      <c r="UO23" s="11"/>
      <c r="UP23" s="11"/>
      <c r="UQ23" s="11"/>
      <c r="UR23" s="11"/>
      <c r="US23" s="11"/>
      <c r="UT23" s="11"/>
      <c r="UU23" s="11"/>
      <c r="UV23" s="11"/>
      <c r="UW23" s="11"/>
      <c r="UX23" s="11"/>
      <c r="UY23" s="11"/>
      <c r="UZ23" s="11"/>
      <c r="VA23" s="11"/>
      <c r="VB23" s="11"/>
      <c r="VC23" s="11"/>
      <c r="VD23" s="11"/>
      <c r="VE23" s="11"/>
      <c r="VF23" s="11"/>
      <c r="VG23" s="11"/>
      <c r="VH23" s="11"/>
      <c r="VI23" s="11"/>
      <c r="VJ23" s="11"/>
      <c r="VK23" s="11"/>
      <c r="VL23" s="11"/>
      <c r="VM23" s="11"/>
      <c r="VN23" s="11"/>
      <c r="VO23" s="11"/>
      <c r="VP23" s="11"/>
      <c r="VQ23" s="11"/>
      <c r="VR23" s="11"/>
      <c r="VS23" s="11"/>
      <c r="VT23" s="11"/>
      <c r="VU23" s="11"/>
      <c r="VV23" s="11"/>
      <c r="VW23" s="11"/>
      <c r="VX23" s="11"/>
      <c r="VY23" s="11"/>
      <c r="VZ23" s="11"/>
      <c r="WA23" s="11"/>
      <c r="WB23" s="11"/>
      <c r="WC23" s="11"/>
      <c r="WD23" s="11"/>
      <c r="WE23" s="11"/>
      <c r="WF23" s="11"/>
      <c r="WG23" s="11"/>
      <c r="WH23" s="11"/>
      <c r="WI23" s="11"/>
      <c r="WJ23" s="11"/>
      <c r="WK23" s="11"/>
      <c r="WL23" s="11"/>
      <c r="WM23" s="11"/>
      <c r="WN23" s="11"/>
      <c r="WO23" s="11"/>
      <c r="WP23" s="11"/>
      <c r="WQ23" s="11"/>
      <c r="WR23" s="11"/>
      <c r="WS23" s="11"/>
      <c r="WT23" s="11"/>
      <c r="WU23" s="11"/>
      <c r="WV23" s="11"/>
      <c r="WW23" s="11"/>
      <c r="WX23" s="11"/>
      <c r="WY23" s="11"/>
      <c r="WZ23" s="11"/>
      <c r="XA23" s="11"/>
      <c r="XB23" s="11"/>
      <c r="XC23" s="11"/>
      <c r="XD23" s="11"/>
      <c r="XE23" s="11"/>
      <c r="XF23" s="11"/>
      <c r="XG23" s="11"/>
      <c r="XH23" s="11"/>
      <c r="XI23" s="11"/>
      <c r="XJ23" s="11"/>
      <c r="XK23" s="11"/>
      <c r="XL23" s="11"/>
      <c r="XM23" s="11"/>
      <c r="XN23" s="11"/>
      <c r="XO23" s="11"/>
      <c r="XP23" s="11"/>
      <c r="XQ23" s="11"/>
      <c r="XR23" s="11"/>
      <c r="XS23" s="11"/>
      <c r="XT23" s="11"/>
      <c r="XU23" s="11"/>
      <c r="XV23" s="11"/>
      <c r="XW23" s="11"/>
      <c r="XX23" s="11"/>
      <c r="XY23" s="11"/>
      <c r="XZ23" s="11"/>
      <c r="YA23" s="11"/>
      <c r="YB23" s="11"/>
      <c r="YC23" s="11"/>
      <c r="YD23" s="11"/>
      <c r="YE23" s="11"/>
      <c r="YF23" s="11"/>
      <c r="YG23" s="11"/>
      <c r="YH23" s="11"/>
      <c r="YI23" s="11"/>
      <c r="YJ23" s="11"/>
      <c r="YK23" s="11"/>
      <c r="YL23" s="11"/>
      <c r="YM23" s="11"/>
      <c r="YN23" s="11"/>
      <c r="YO23" s="11"/>
      <c r="YP23" s="11"/>
      <c r="YQ23" s="11"/>
      <c r="YR23" s="11"/>
      <c r="YS23" s="11"/>
      <c r="YT23" s="11"/>
      <c r="YU23" s="11"/>
      <c r="YV23" s="11"/>
      <c r="YW23" s="11"/>
      <c r="YX23" s="11"/>
      <c r="YY23" s="11"/>
      <c r="YZ23" s="11"/>
      <c r="ZA23" s="11"/>
      <c r="ZB23" s="11"/>
      <c r="ZC23" s="11"/>
      <c r="ZD23" s="11"/>
      <c r="ZE23" s="11"/>
      <c r="ZF23" s="11"/>
      <c r="ZG23" s="11"/>
      <c r="ZH23" s="11"/>
      <c r="ZI23" s="11"/>
      <c r="ZJ23" s="11"/>
      <c r="ZK23" s="11"/>
      <c r="ZL23" s="11"/>
      <c r="ZM23" s="11"/>
      <c r="ZN23" s="11"/>
      <c r="ZO23" s="11"/>
      <c r="ZP23" s="11"/>
      <c r="ZQ23" s="11"/>
      <c r="ZR23" s="11"/>
      <c r="ZS23" s="11"/>
      <c r="ZT23" s="11"/>
      <c r="ZU23" s="11"/>
      <c r="ZV23" s="11"/>
      <c r="ZW23" s="11"/>
      <c r="ZX23" s="11"/>
      <c r="ZY23" s="11"/>
      <c r="ZZ23" s="11"/>
      <c r="AAA23" s="11"/>
      <c r="AAB23" s="11"/>
      <c r="AAC23" s="11"/>
      <c r="AAD23" s="11"/>
      <c r="AAE23" s="11"/>
      <c r="AAF23" s="11"/>
      <c r="AAG23" s="11"/>
      <c r="AAH23" s="11"/>
      <c r="AAI23" s="11"/>
      <c r="AAJ23" s="11"/>
      <c r="AAK23" s="11"/>
      <c r="AAL23" s="11"/>
      <c r="AAM23" s="11"/>
      <c r="AAN23" s="11"/>
      <c r="AAO23" s="11"/>
      <c r="AAP23" s="11"/>
      <c r="AAQ23" s="11"/>
      <c r="AAR23" s="11"/>
      <c r="AAS23" s="11"/>
      <c r="AAT23" s="11"/>
      <c r="AAU23" s="11"/>
      <c r="AAV23" s="11"/>
      <c r="AAW23" s="11"/>
      <c r="AAX23" s="11"/>
      <c r="AAY23" s="11"/>
      <c r="AAZ23" s="11"/>
      <c r="ABA23" s="11"/>
      <c r="ABB23" s="11"/>
      <c r="ABC23" s="11"/>
      <c r="ABD23" s="11"/>
      <c r="ABE23" s="11"/>
      <c r="ABF23" s="11"/>
      <c r="ABG23" s="11"/>
      <c r="ABH23" s="11"/>
      <c r="ABI23" s="11"/>
      <c r="ABJ23" s="11"/>
      <c r="ABK23" s="11"/>
      <c r="ABL23" s="11"/>
      <c r="ABM23" s="11"/>
      <c r="ABN23" s="11"/>
      <c r="ABO23" s="11"/>
      <c r="ABP23" s="11"/>
      <c r="ABQ23" s="11"/>
      <c r="ABR23" s="11"/>
      <c r="ABS23" s="11"/>
      <c r="ABT23" s="11"/>
      <c r="ABU23" s="11"/>
      <c r="ABV23" s="11"/>
      <c r="ABW23" s="11"/>
      <c r="ABX23" s="11"/>
      <c r="ABY23" s="11"/>
      <c r="ABZ23" s="11"/>
      <c r="ACA23" s="11"/>
      <c r="ACB23" s="11"/>
      <c r="ACC23" s="11"/>
      <c r="ACD23" s="11"/>
      <c r="ACE23" s="11"/>
      <c r="ACF23" s="11"/>
      <c r="ACG23" s="11"/>
      <c r="ACH23" s="11"/>
      <c r="ACI23" s="11"/>
      <c r="ACJ23" s="11"/>
      <c r="ACK23" s="11"/>
      <c r="ACL23" s="11"/>
      <c r="ACM23" s="11"/>
      <c r="ACN23" s="11"/>
      <c r="ACO23" s="11"/>
      <c r="ACP23" s="11"/>
      <c r="ACQ23" s="11"/>
      <c r="ACR23" s="11"/>
      <c r="ACS23" s="11"/>
      <c r="ACT23" s="11"/>
      <c r="ACU23" s="11"/>
      <c r="ACV23" s="11"/>
      <c r="ACW23" s="11"/>
      <c r="ACX23" s="11"/>
      <c r="ACY23" s="11"/>
      <c r="ACZ23" s="11"/>
      <c r="ADA23" s="11"/>
      <c r="ADB23" s="11"/>
      <c r="ADC23" s="11"/>
      <c r="ADD23" s="11"/>
      <c r="ADE23" s="11"/>
      <c r="ADF23" s="11"/>
      <c r="ADG23" s="11"/>
      <c r="ADH23" s="11"/>
      <c r="ADI23" s="11"/>
      <c r="ADJ23" s="11"/>
      <c r="ADK23" s="11"/>
      <c r="ADL23" s="11"/>
      <c r="ADM23" s="11"/>
      <c r="ADN23" s="11"/>
      <c r="ADO23" s="11"/>
      <c r="ADP23" s="11"/>
      <c r="ADQ23" s="11"/>
      <c r="ADR23" s="11"/>
      <c r="ADS23" s="11"/>
      <c r="ADT23" s="11"/>
      <c r="ADU23" s="11"/>
      <c r="ADV23" s="11"/>
      <c r="ADW23" s="11"/>
      <c r="ADX23" s="11"/>
      <c r="ADY23" s="11"/>
      <c r="ADZ23" s="11"/>
      <c r="AEA23" s="11"/>
      <c r="AEB23" s="11"/>
      <c r="AEC23" s="11"/>
      <c r="AED23" s="11"/>
      <c r="AEE23" s="11"/>
      <c r="AEF23" s="11"/>
      <c r="AEG23" s="11"/>
      <c r="AEH23" s="11"/>
      <c r="AEI23" s="11"/>
      <c r="AEJ23" s="11"/>
      <c r="AEK23" s="11"/>
      <c r="AEL23" s="11"/>
      <c r="AEM23" s="11"/>
      <c r="AEN23" s="11"/>
      <c r="AEO23" s="11"/>
      <c r="AEP23" s="11"/>
      <c r="AEQ23" s="11"/>
      <c r="AER23" s="11"/>
      <c r="AES23" s="11"/>
      <c r="AET23" s="11"/>
      <c r="AEU23" s="11"/>
      <c r="AEV23" s="11"/>
      <c r="AEW23" s="11"/>
      <c r="AEX23" s="11"/>
      <c r="AEY23" s="11"/>
      <c r="AEZ23" s="11"/>
      <c r="AFA23" s="11"/>
      <c r="AFB23" s="11"/>
      <c r="AFC23" s="11"/>
      <c r="AFD23" s="11"/>
      <c r="AFE23" s="11"/>
      <c r="AFF23" s="11"/>
      <c r="AFG23" s="11"/>
      <c r="AFH23" s="11"/>
      <c r="AFI23" s="11"/>
      <c r="AFJ23" s="11"/>
      <c r="AFK23" s="11"/>
      <c r="AFL23" s="11"/>
      <c r="AFM23" s="11"/>
      <c r="AFN23" s="11"/>
      <c r="AFO23" s="11"/>
      <c r="AFP23" s="11"/>
      <c r="AFQ23" s="11"/>
      <c r="AFR23" s="11"/>
      <c r="AFS23" s="11"/>
      <c r="AFT23" s="11"/>
      <c r="AFU23" s="11"/>
      <c r="AFV23" s="11"/>
      <c r="AFW23" s="11"/>
      <c r="AFX23" s="11"/>
      <c r="AFY23" s="11"/>
      <c r="AFZ23" s="11"/>
      <c r="AGA23" s="11"/>
      <c r="AGB23" s="11"/>
      <c r="AGC23" s="11"/>
      <c r="AGD23" s="11"/>
      <c r="AGE23" s="11"/>
      <c r="AGF23" s="11"/>
      <c r="AGG23" s="11"/>
      <c r="AGH23" s="11"/>
      <c r="AGI23" s="11"/>
      <c r="AGJ23" s="11"/>
      <c r="AGK23" s="11"/>
      <c r="AGL23" s="11"/>
      <c r="AGM23" s="11"/>
      <c r="AGN23" s="11"/>
      <c r="AGO23" s="11"/>
      <c r="AGP23" s="11"/>
      <c r="AGQ23" s="11"/>
      <c r="AGR23" s="11"/>
      <c r="AGS23" s="11"/>
      <c r="AGT23" s="11"/>
      <c r="AGU23" s="11"/>
      <c r="AGV23" s="11"/>
      <c r="AGW23" s="11"/>
      <c r="AGX23" s="11"/>
      <c r="AGY23" s="11"/>
      <c r="AGZ23" s="11"/>
      <c r="AHA23" s="11"/>
      <c r="AHB23" s="11"/>
      <c r="AHC23" s="11"/>
      <c r="AHD23" s="11"/>
      <c r="AHE23" s="11"/>
      <c r="AHF23" s="11"/>
      <c r="AHG23" s="11"/>
      <c r="AHH23" s="11"/>
      <c r="AHI23" s="11"/>
      <c r="AHJ23" s="11"/>
      <c r="AHK23" s="11"/>
      <c r="AHL23" s="11"/>
      <c r="AHM23" s="11"/>
      <c r="AHN23" s="11"/>
      <c r="AHO23" s="11"/>
      <c r="AHP23" s="11"/>
      <c r="AHQ23" s="11"/>
      <c r="AHR23" s="11"/>
      <c r="AHS23" s="11"/>
      <c r="AHT23" s="11"/>
      <c r="AHU23" s="11"/>
      <c r="AHV23" s="11"/>
      <c r="AHW23" s="11"/>
      <c r="AHX23" s="11"/>
      <c r="AHY23" s="11"/>
      <c r="AHZ23" s="11"/>
      <c r="AIA23" s="11"/>
      <c r="AIB23" s="11"/>
      <c r="AIC23" s="11"/>
      <c r="AID23" s="11"/>
      <c r="AIE23" s="11"/>
      <c r="AIF23" s="11"/>
      <c r="AIG23" s="11"/>
      <c r="AIH23" s="11"/>
      <c r="AII23" s="11"/>
      <c r="AIJ23" s="11"/>
      <c r="AIK23" s="11"/>
      <c r="AIL23" s="11"/>
      <c r="AIM23" s="11"/>
      <c r="AIN23" s="11"/>
      <c r="AIO23" s="11"/>
      <c r="AIP23" s="11"/>
      <c r="AIQ23" s="11"/>
      <c r="AIR23" s="11"/>
      <c r="AIS23" s="11"/>
      <c r="AIT23" s="11"/>
      <c r="AIU23" s="11"/>
      <c r="AIV23" s="11"/>
      <c r="AIW23" s="11"/>
      <c r="AIX23" s="11"/>
      <c r="AIY23" s="11"/>
      <c r="AIZ23" s="11"/>
      <c r="AJA23" s="11"/>
      <c r="AJB23" s="11"/>
      <c r="AJC23" s="11"/>
      <c r="AJD23" s="11"/>
      <c r="AJE23" s="11"/>
      <c r="AJF23" s="11"/>
      <c r="AJG23" s="11"/>
      <c r="AJH23" s="11"/>
      <c r="AJI23" s="11"/>
      <c r="AJJ23" s="11"/>
      <c r="AJK23" s="11"/>
      <c r="AJL23" s="11"/>
      <c r="AJM23" s="11"/>
      <c r="AJN23" s="11"/>
      <c r="AJO23" s="11"/>
      <c r="AJP23" s="11"/>
      <c r="AJQ23" s="11"/>
      <c r="AJR23" s="11"/>
      <c r="AJS23" s="11"/>
      <c r="AJT23" s="11"/>
      <c r="AJU23" s="11"/>
      <c r="AJV23" s="11"/>
      <c r="AJW23" s="11"/>
      <c r="AJX23" s="11"/>
      <c r="AJY23" s="11"/>
      <c r="AJZ23" s="11"/>
      <c r="AKA23" s="11"/>
      <c r="AKB23" s="11"/>
      <c r="AKC23" s="11"/>
      <c r="AKD23" s="11"/>
      <c r="AKE23" s="11"/>
      <c r="AKF23" s="11"/>
      <c r="AKG23" s="11"/>
      <c r="AKH23" s="11"/>
      <c r="AKI23" s="11"/>
      <c r="AKJ23" s="11"/>
      <c r="AKK23" s="11"/>
      <c r="AKL23" s="11"/>
      <c r="AKM23" s="11"/>
      <c r="AKN23" s="11"/>
      <c r="AKO23" s="11"/>
      <c r="AKP23" s="11"/>
      <c r="AKQ23" s="11"/>
      <c r="AKR23" s="11"/>
      <c r="AKS23" s="11"/>
      <c r="AKT23" s="11"/>
      <c r="AKU23" s="11"/>
      <c r="AKV23" s="11"/>
      <c r="AKW23" s="11"/>
      <c r="AKX23" s="11"/>
      <c r="AKY23" s="11"/>
      <c r="AKZ23" s="11"/>
      <c r="ALA23" s="11"/>
      <c r="ALB23" s="11"/>
      <c r="ALC23" s="11"/>
      <c r="ALD23" s="11"/>
      <c r="ALE23" s="11"/>
      <c r="ALF23" s="11"/>
      <c r="ALG23" s="11"/>
      <c r="ALH23" s="11"/>
      <c r="ALI23" s="11"/>
      <c r="ALJ23" s="11"/>
      <c r="ALK23" s="11"/>
      <c r="ALL23" s="11"/>
      <c r="ALM23" s="11"/>
      <c r="ALN23" s="11"/>
      <c r="ALO23" s="11"/>
      <c r="ALP23" s="11"/>
      <c r="ALQ23" s="11"/>
      <c r="ALR23" s="11"/>
      <c r="ALS23" s="11"/>
      <c r="ALT23" s="11"/>
      <c r="ALU23" s="11"/>
      <c r="ALV23" s="11"/>
      <c r="ALW23" s="11"/>
      <c r="ALX23" s="11"/>
      <c r="ALY23" s="11"/>
      <c r="ALZ23" s="11"/>
      <c r="AMA23" s="11"/>
      <c r="AMB23" s="11"/>
      <c r="AMC23" s="11"/>
      <c r="AMD23" s="11"/>
      <c r="AME23" s="11"/>
      <c r="AMF23" s="11"/>
      <c r="AMG23" s="11"/>
      <c r="AMH23" s="11"/>
      <c r="AMI23" s="11"/>
      <c r="AMJ23" s="11"/>
      <c r="AMK23" s="11"/>
    </row>
    <row r="24" spans="1:1025">
      <c r="A24" s="14" t="s">
        <v>10</v>
      </c>
      <c r="B24" s="15">
        <v>0</v>
      </c>
      <c r="C24" s="15">
        <f>O1X</f>
        <v>50</v>
      </c>
      <c r="D24" s="15">
        <f>offsetX</f>
        <v>50</v>
      </c>
      <c r="E24" s="15">
        <f>offsetX+Length0*COS(theta0)</f>
        <v>81.941345861825141</v>
      </c>
      <c r="F24" s="15">
        <f>O2X+Length1*COS(theta1)*COS(theta0)</f>
        <v>127.89044951834063</v>
      </c>
      <c r="G24" s="16">
        <f>O3X+Length2*COS(theta1+theta2)*COS(theta0)</f>
        <v>177</v>
      </c>
      <c r="AMK24" s="7"/>
    </row>
    <row r="25" spans="1:1025">
      <c r="A25" s="17" t="s">
        <v>34</v>
      </c>
      <c r="B25" s="18">
        <v>0</v>
      </c>
      <c r="C25" s="18">
        <f>O1Y</f>
        <v>50</v>
      </c>
      <c r="D25" s="18">
        <f>offsetX</f>
        <v>50</v>
      </c>
      <c r="E25" s="18">
        <f>offsetY+Length0*SIN(theta0)</f>
        <v>51.936601284535854</v>
      </c>
      <c r="F25" s="18">
        <f>O2Y+Length1*COS(theta1)*SIN(theta0)</f>
        <v>54.722491821190729</v>
      </c>
      <c r="G25" s="19">
        <f>O3Y+Length2*COS(theta1+theta2)*SIN(theta0)</f>
        <v>57.699999999999996</v>
      </c>
      <c r="AMK25" s="7"/>
    </row>
    <row r="26" spans="1:1025" ht="13.5" thickBot="1">
      <c r="A26" s="20" t="s">
        <v>11</v>
      </c>
      <c r="B26" s="21">
        <v>0</v>
      </c>
      <c r="C26" s="21">
        <v>0</v>
      </c>
      <c r="D26" s="21">
        <f>offsetZ</f>
        <v>-30</v>
      </c>
      <c r="E26" s="21">
        <f>offsetZ</f>
        <v>-30</v>
      </c>
      <c r="F26" s="21">
        <f>O2Z+Length1*SIN(theta1)</f>
        <v>15.890289681811467</v>
      </c>
      <c r="G26" s="22">
        <f>O3Z+Length2*SIN(theta1+theta2)</f>
        <v>-78.000000000000014</v>
      </c>
      <c r="AMK26" s="7"/>
    </row>
    <row r="27" spans="1:1025">
      <c r="D27" s="7">
        <f>SQRT(POWER(D24,2)+POWER(D25,2))</f>
        <v>70.710678118654755</v>
      </c>
      <c r="E27" s="7">
        <f>SQRT(POWER(E24-D24,2)+POWER(E25-D25,2))</f>
        <v>32</v>
      </c>
      <c r="F27" s="7">
        <f>SQRT(POWER(O3X-O2X,2)+POWER(O3Y-O2Y,2)+POWER(O3Z-O2Z,2))</f>
        <v>65</v>
      </c>
      <c r="G27" s="7">
        <f>SQRT(POWER(ODestX-O3X,2)+POWER(ODestY-O3Y,2)+POWER(ODestZ-O3Z,2))</f>
        <v>106</v>
      </c>
      <c r="AMK27" s="7"/>
    </row>
    <row r="28" spans="1:1025">
      <c r="E28" s="11"/>
      <c r="F28" s="11"/>
      <c r="G28" s="11"/>
    </row>
    <row r="29" spans="1:1025">
      <c r="A29" s="7" t="s">
        <v>41</v>
      </c>
      <c r="B29" s="23">
        <f>destX-O2X</f>
        <v>95.058654138174859</v>
      </c>
    </row>
    <row r="30" spans="1:1025">
      <c r="A30" s="7" t="s">
        <v>42</v>
      </c>
      <c r="B30" s="23">
        <f>destY-O2Y</f>
        <v>5.7633987154641488</v>
      </c>
    </row>
    <row r="31" spans="1:1025">
      <c r="A31" s="7" t="s">
        <v>43</v>
      </c>
      <c r="B31" s="23">
        <f>destZ-O2Z</f>
        <v>-48</v>
      </c>
    </row>
    <row r="32" spans="1:1025">
      <c r="A32" s="7" t="s">
        <v>46</v>
      </c>
      <c r="B32" s="23">
        <f>ATAN2(B29,B30)</f>
        <v>6.055579307993457E-2</v>
      </c>
      <c r="C32" s="27" t="str">
        <f>ROUND(DEGREES(B32),1)&amp;"st"</f>
        <v>3.5st</v>
      </c>
      <c r="D32" s="6" t="s">
        <v>47</v>
      </c>
    </row>
    <row r="33" spans="1:1024">
      <c r="A33" s="7" t="s">
        <v>29</v>
      </c>
      <c r="B33" s="23">
        <f>SQRT(POWER(pXFromO2,2)+POWER(pYFromO2,2))</f>
        <v>95.233211073209972</v>
      </c>
    </row>
    <row r="35" spans="1:1024">
      <c r="A35" s="7" t="s">
        <v>13</v>
      </c>
      <c r="B35" s="7">
        <f>(POWER(RpXpY,2)+POWER(pZFromO2,2)-POWER(Length1,2)-POWER(Length2,2))/(2*Length1*Length2)</f>
        <v>-0.29663537798878364</v>
      </c>
    </row>
    <row r="36" spans="1:1024">
      <c r="A36" s="7" t="s">
        <v>14</v>
      </c>
      <c r="B36" s="7">
        <f>-SQRT(1-POWER(_cos3,2))</f>
        <v>-0.95499081279635956</v>
      </c>
    </row>
    <row r="37" spans="1:1024">
      <c r="A37" s="10" t="s">
        <v>27</v>
      </c>
      <c r="B37" s="29">
        <f>ATAN2(pXFromO1,pYFromO1)</f>
        <v>6.0555793079934549E-2</v>
      </c>
      <c r="C37" s="27" t="str">
        <f>ROUND(DEGREES(B37),1)&amp;"st"</f>
        <v>3.5st</v>
      </c>
    </row>
    <row r="38" spans="1:1024">
      <c r="A38" s="10" t="s">
        <v>6</v>
      </c>
      <c r="B38" s="29">
        <f>ATAN2(RpXpY,pZFromO2)-ATAN2(Length1+Length2*_cos3,Length2*_sin3)</f>
        <v>0.78384045367777178</v>
      </c>
      <c r="C38" s="27" t="str">
        <f>ROUND(DEGREES(B38),1)&amp;"st"</f>
        <v>44.9st</v>
      </c>
      <c r="D38" s="7">
        <f>COS(theta1)</f>
        <v>0.70820738996417187</v>
      </c>
    </row>
    <row r="39" spans="1:1024">
      <c r="A39" s="10" t="s">
        <v>7</v>
      </c>
      <c r="B39" s="29">
        <f>ATAN2(_cos3,_sin3)</f>
        <v>-1.871963845261128</v>
      </c>
      <c r="C39" s="27" t="str">
        <f>ROUND(DEGREES(B39),1)&amp;"st"</f>
        <v>-107.3st</v>
      </c>
    </row>
    <row r="40" spans="1:1024">
      <c r="B40" s="29">
        <f>RADIANS(C40)</f>
        <v>-0.30116751846623158</v>
      </c>
      <c r="C40" s="28">
        <f>DEGREES(theta2)+90</f>
        <v>-17.255627734543353</v>
      </c>
    </row>
    <row r="42" spans="1:1024" s="13" customFormat="1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  <c r="XY42" s="11"/>
      <c r="XZ42" s="11"/>
      <c r="YA42" s="11"/>
      <c r="YB42" s="11"/>
      <c r="YC42" s="11"/>
      <c r="YD42" s="11"/>
      <c r="YE42" s="11"/>
      <c r="YF42" s="11"/>
      <c r="YG42" s="11"/>
      <c r="YH42" s="11"/>
      <c r="YI42" s="11"/>
      <c r="YJ42" s="11"/>
      <c r="YK42" s="11"/>
      <c r="YL42" s="11"/>
      <c r="YM42" s="11"/>
      <c r="YN42" s="11"/>
      <c r="YO42" s="11"/>
      <c r="YP42" s="11"/>
      <c r="YQ42" s="11"/>
      <c r="YR42" s="11"/>
      <c r="YS42" s="11"/>
      <c r="YT42" s="11"/>
      <c r="YU42" s="11"/>
      <c r="YV42" s="11"/>
      <c r="YW42" s="11"/>
      <c r="YX42" s="11"/>
      <c r="YY42" s="11"/>
      <c r="YZ42" s="11"/>
      <c r="ZA42" s="11"/>
      <c r="ZB42" s="11"/>
      <c r="ZC42" s="11"/>
      <c r="ZD42" s="11"/>
      <c r="ZE42" s="11"/>
      <c r="ZF42" s="11"/>
      <c r="ZG42" s="11"/>
      <c r="ZH42" s="11"/>
      <c r="ZI42" s="11"/>
      <c r="ZJ42" s="11"/>
      <c r="ZK42" s="11"/>
      <c r="ZL42" s="11"/>
      <c r="ZM42" s="11"/>
      <c r="ZN42" s="11"/>
      <c r="ZO42" s="11"/>
      <c r="ZP42" s="11"/>
      <c r="ZQ42" s="11"/>
      <c r="ZR42" s="11"/>
      <c r="ZS42" s="11"/>
      <c r="ZT42" s="11"/>
      <c r="ZU42" s="11"/>
      <c r="ZV42" s="11"/>
      <c r="ZW42" s="11"/>
      <c r="ZX42" s="11"/>
      <c r="ZY42" s="11"/>
      <c r="ZZ42" s="11"/>
      <c r="AAA42" s="11"/>
      <c r="AAB42" s="11"/>
      <c r="AAC42" s="11"/>
      <c r="AAD42" s="11"/>
      <c r="AAE42" s="11"/>
      <c r="AAF42" s="11"/>
      <c r="AAG42" s="11"/>
      <c r="AAH42" s="11"/>
      <c r="AAI42" s="11"/>
      <c r="AAJ42" s="11"/>
      <c r="AAK42" s="11"/>
      <c r="AAL42" s="11"/>
      <c r="AAM42" s="11"/>
      <c r="AAN42" s="11"/>
      <c r="AAO42" s="11"/>
      <c r="AAP42" s="11"/>
      <c r="AAQ42" s="11"/>
      <c r="AAR42" s="11"/>
      <c r="AAS42" s="11"/>
      <c r="AAT42" s="11"/>
      <c r="AAU42" s="11"/>
      <c r="AAV42" s="11"/>
      <c r="AAW42" s="11"/>
      <c r="AAX42" s="11"/>
      <c r="AAY42" s="11"/>
      <c r="AAZ42" s="11"/>
      <c r="ABA42" s="11"/>
      <c r="ABB42" s="11"/>
      <c r="ABC42" s="11"/>
      <c r="ABD42" s="11"/>
      <c r="ABE42" s="11"/>
      <c r="ABF42" s="11"/>
      <c r="ABG42" s="11"/>
      <c r="ABH42" s="11"/>
      <c r="ABI42" s="11"/>
      <c r="ABJ42" s="11"/>
      <c r="ABK42" s="11"/>
      <c r="ABL42" s="11"/>
      <c r="ABM42" s="11"/>
      <c r="ABN42" s="11"/>
      <c r="ABO42" s="11"/>
      <c r="ABP42" s="11"/>
      <c r="ABQ42" s="11"/>
      <c r="ABR42" s="11"/>
      <c r="ABS42" s="11"/>
      <c r="ABT42" s="11"/>
      <c r="ABU42" s="11"/>
      <c r="ABV42" s="11"/>
      <c r="ABW42" s="11"/>
      <c r="ABX42" s="11"/>
      <c r="ABY42" s="11"/>
      <c r="ABZ42" s="11"/>
      <c r="ACA42" s="11"/>
      <c r="ACB42" s="11"/>
      <c r="ACC42" s="11"/>
      <c r="ACD42" s="11"/>
      <c r="ACE42" s="11"/>
      <c r="ACF42" s="11"/>
      <c r="ACG42" s="11"/>
      <c r="ACH42" s="11"/>
      <c r="ACI42" s="11"/>
      <c r="ACJ42" s="11"/>
      <c r="ACK42" s="11"/>
      <c r="ACL42" s="11"/>
      <c r="ACM42" s="11"/>
      <c r="ACN42" s="11"/>
      <c r="ACO42" s="11"/>
      <c r="ACP42" s="11"/>
      <c r="ACQ42" s="11"/>
      <c r="ACR42" s="11"/>
      <c r="ACS42" s="11"/>
      <c r="ACT42" s="11"/>
      <c r="ACU42" s="11"/>
      <c r="ACV42" s="11"/>
      <c r="ACW42" s="11"/>
      <c r="ACX42" s="11"/>
      <c r="ACY42" s="11"/>
      <c r="ACZ42" s="11"/>
      <c r="ADA42" s="11"/>
      <c r="ADB42" s="11"/>
      <c r="ADC42" s="11"/>
      <c r="ADD42" s="11"/>
      <c r="ADE42" s="11"/>
      <c r="ADF42" s="11"/>
      <c r="ADG42" s="11"/>
      <c r="ADH42" s="11"/>
      <c r="ADI42" s="11"/>
      <c r="ADJ42" s="11"/>
      <c r="ADK42" s="11"/>
      <c r="ADL42" s="11"/>
      <c r="ADM42" s="11"/>
      <c r="ADN42" s="11"/>
      <c r="ADO42" s="11"/>
      <c r="ADP42" s="11"/>
      <c r="ADQ42" s="11"/>
      <c r="ADR42" s="11"/>
      <c r="ADS42" s="11"/>
      <c r="ADT42" s="11"/>
      <c r="ADU42" s="11"/>
      <c r="ADV42" s="11"/>
      <c r="ADW42" s="11"/>
      <c r="ADX42" s="11"/>
      <c r="ADY42" s="11"/>
      <c r="ADZ42" s="11"/>
      <c r="AEA42" s="11"/>
      <c r="AEB42" s="11"/>
      <c r="AEC42" s="11"/>
      <c r="AED42" s="11"/>
      <c r="AEE42" s="11"/>
      <c r="AEF42" s="11"/>
      <c r="AEG42" s="11"/>
      <c r="AEH42" s="11"/>
      <c r="AEI42" s="11"/>
      <c r="AEJ42" s="11"/>
      <c r="AEK42" s="11"/>
      <c r="AEL42" s="11"/>
      <c r="AEM42" s="11"/>
      <c r="AEN42" s="11"/>
      <c r="AEO42" s="11"/>
      <c r="AEP42" s="11"/>
      <c r="AEQ42" s="11"/>
      <c r="AER42" s="11"/>
      <c r="AES42" s="11"/>
      <c r="AET42" s="11"/>
      <c r="AEU42" s="11"/>
      <c r="AEV42" s="11"/>
      <c r="AEW42" s="11"/>
      <c r="AEX42" s="11"/>
      <c r="AEY42" s="11"/>
      <c r="AEZ42" s="11"/>
      <c r="AFA42" s="11"/>
      <c r="AFB42" s="11"/>
      <c r="AFC42" s="11"/>
      <c r="AFD42" s="11"/>
      <c r="AFE42" s="11"/>
      <c r="AFF42" s="11"/>
      <c r="AFG42" s="11"/>
      <c r="AFH42" s="11"/>
      <c r="AFI42" s="11"/>
      <c r="AFJ42" s="11"/>
      <c r="AFK42" s="11"/>
      <c r="AFL42" s="11"/>
      <c r="AFM42" s="11"/>
      <c r="AFN42" s="11"/>
      <c r="AFO42" s="11"/>
      <c r="AFP42" s="11"/>
      <c r="AFQ42" s="11"/>
      <c r="AFR42" s="11"/>
      <c r="AFS42" s="11"/>
      <c r="AFT42" s="11"/>
      <c r="AFU42" s="11"/>
      <c r="AFV42" s="11"/>
      <c r="AFW42" s="11"/>
      <c r="AFX42" s="11"/>
      <c r="AFY42" s="11"/>
      <c r="AFZ42" s="11"/>
      <c r="AGA42" s="11"/>
      <c r="AGB42" s="11"/>
      <c r="AGC42" s="11"/>
      <c r="AGD42" s="11"/>
      <c r="AGE42" s="11"/>
      <c r="AGF42" s="11"/>
      <c r="AGG42" s="11"/>
      <c r="AGH42" s="11"/>
      <c r="AGI42" s="11"/>
      <c r="AGJ42" s="11"/>
      <c r="AGK42" s="11"/>
      <c r="AGL42" s="11"/>
      <c r="AGM42" s="11"/>
      <c r="AGN42" s="11"/>
      <c r="AGO42" s="11"/>
      <c r="AGP42" s="11"/>
      <c r="AGQ42" s="11"/>
      <c r="AGR42" s="11"/>
      <c r="AGS42" s="11"/>
      <c r="AGT42" s="11"/>
      <c r="AGU42" s="11"/>
      <c r="AGV42" s="11"/>
      <c r="AGW42" s="11"/>
      <c r="AGX42" s="11"/>
      <c r="AGY42" s="11"/>
      <c r="AGZ42" s="11"/>
      <c r="AHA42" s="11"/>
      <c r="AHB42" s="11"/>
      <c r="AHC42" s="11"/>
      <c r="AHD42" s="11"/>
      <c r="AHE42" s="11"/>
      <c r="AHF42" s="11"/>
      <c r="AHG42" s="11"/>
      <c r="AHH42" s="11"/>
      <c r="AHI42" s="11"/>
      <c r="AHJ42" s="11"/>
      <c r="AHK42" s="11"/>
      <c r="AHL42" s="11"/>
      <c r="AHM42" s="11"/>
      <c r="AHN42" s="11"/>
      <c r="AHO42" s="11"/>
      <c r="AHP42" s="11"/>
      <c r="AHQ42" s="11"/>
      <c r="AHR42" s="11"/>
      <c r="AHS42" s="11"/>
      <c r="AHT42" s="11"/>
      <c r="AHU42" s="11"/>
      <c r="AHV42" s="11"/>
      <c r="AHW42" s="11"/>
      <c r="AHX42" s="11"/>
      <c r="AHY42" s="11"/>
      <c r="AHZ42" s="11"/>
      <c r="AIA42" s="11"/>
      <c r="AIB42" s="11"/>
      <c r="AIC42" s="11"/>
      <c r="AID42" s="11"/>
      <c r="AIE42" s="11"/>
      <c r="AIF42" s="11"/>
      <c r="AIG42" s="11"/>
      <c r="AIH42" s="11"/>
      <c r="AII42" s="11"/>
      <c r="AIJ42" s="11"/>
      <c r="AIK42" s="11"/>
      <c r="AIL42" s="11"/>
      <c r="AIM42" s="11"/>
      <c r="AIN42" s="11"/>
      <c r="AIO42" s="11"/>
      <c r="AIP42" s="11"/>
      <c r="AIQ42" s="11"/>
      <c r="AIR42" s="11"/>
      <c r="AIS42" s="11"/>
      <c r="AIT42" s="11"/>
      <c r="AIU42" s="11"/>
      <c r="AIV42" s="11"/>
      <c r="AIW42" s="11"/>
      <c r="AIX42" s="11"/>
      <c r="AIY42" s="11"/>
      <c r="AIZ42" s="11"/>
      <c r="AJA42" s="11"/>
      <c r="AJB42" s="11"/>
      <c r="AJC42" s="11"/>
      <c r="AJD42" s="11"/>
      <c r="AJE42" s="11"/>
      <c r="AJF42" s="11"/>
      <c r="AJG42" s="11"/>
      <c r="AJH42" s="11"/>
      <c r="AJI42" s="11"/>
      <c r="AJJ42" s="11"/>
      <c r="AJK42" s="11"/>
      <c r="AJL42" s="11"/>
      <c r="AJM42" s="11"/>
      <c r="AJN42" s="11"/>
      <c r="AJO42" s="11"/>
      <c r="AJP42" s="11"/>
      <c r="AJQ42" s="11"/>
      <c r="AJR42" s="11"/>
      <c r="AJS42" s="11"/>
      <c r="AJT42" s="11"/>
      <c r="AJU42" s="11"/>
      <c r="AJV42" s="11"/>
      <c r="AJW42" s="11"/>
      <c r="AJX42" s="11"/>
      <c r="AJY42" s="11"/>
      <c r="AJZ42" s="11"/>
      <c r="AKA42" s="11"/>
      <c r="AKB42" s="11"/>
      <c r="AKC42" s="11"/>
      <c r="AKD42" s="11"/>
      <c r="AKE42" s="11"/>
      <c r="AKF42" s="11"/>
      <c r="AKG42" s="11"/>
      <c r="AKH42" s="11"/>
      <c r="AKI42" s="11"/>
      <c r="AKJ42" s="11"/>
      <c r="AKK42" s="11"/>
      <c r="AKL42" s="11"/>
      <c r="AKM42" s="11"/>
      <c r="AKN42" s="11"/>
      <c r="AKO42" s="11"/>
      <c r="AKP42" s="11"/>
      <c r="AKQ42" s="11"/>
      <c r="AKR42" s="11"/>
      <c r="AKS42" s="11"/>
      <c r="AKT42" s="11"/>
      <c r="AKU42" s="11"/>
      <c r="AKV42" s="11"/>
      <c r="AKW42" s="11"/>
      <c r="AKX42" s="11"/>
      <c r="AKY42" s="11"/>
      <c r="AKZ42" s="11"/>
      <c r="ALA42" s="11"/>
      <c r="ALB42" s="11"/>
      <c r="ALC42" s="11"/>
      <c r="ALD42" s="11"/>
      <c r="ALE42" s="11"/>
      <c r="ALF42" s="11"/>
      <c r="ALG42" s="11"/>
      <c r="ALH42" s="11"/>
      <c r="ALI42" s="11"/>
      <c r="ALJ42" s="11"/>
      <c r="ALK42" s="11"/>
      <c r="ALL42" s="11"/>
      <c r="ALM42" s="11"/>
      <c r="ALN42" s="11"/>
      <c r="ALO42" s="11"/>
      <c r="ALP42" s="11"/>
      <c r="ALQ42" s="11"/>
      <c r="ALR42" s="11"/>
      <c r="ALS42" s="11"/>
      <c r="ALT42" s="11"/>
      <c r="ALU42" s="11"/>
      <c r="ALV42" s="11"/>
      <c r="ALW42" s="11"/>
      <c r="ALX42" s="11"/>
      <c r="ALY42" s="11"/>
      <c r="ALZ42" s="11"/>
      <c r="AMA42" s="11"/>
      <c r="AMB42" s="11"/>
      <c r="AMC42" s="11"/>
      <c r="AMD42" s="11"/>
      <c r="AME42" s="11"/>
      <c r="AMF42" s="11"/>
      <c r="AMG42" s="11"/>
      <c r="AMH42" s="11"/>
      <c r="AMI42" s="11"/>
      <c r="AMJ42" s="11"/>
    </row>
  </sheetData>
  <pageMargins left="0" right="0" top="0.39370078740157505" bottom="0.39370078740157505" header="0" footer="0"/>
  <pageSetup orientation="portrait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3077" r:id="rId4" name="ScrollBar1">
          <controlPr defaultSize="0" autoLine="0" r:id="rId5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4</xdr:col>
                <xdr:colOff>733425</xdr:colOff>
                <xdr:row>2</xdr:row>
                <xdr:rowOff>19050</xdr:rowOff>
              </to>
            </anchor>
          </controlPr>
        </control>
      </mc:Choice>
      <mc:Fallback>
        <control shapeId="3077" r:id="rId4" name="ScrollBar1"/>
      </mc:Fallback>
    </mc:AlternateContent>
    <mc:AlternateContent xmlns:mc="http://schemas.openxmlformats.org/markup-compatibility/2006">
      <mc:Choice Requires="x14">
        <control shapeId="3078" r:id="rId6" name="ScrollBar2">
          <controlPr defaultSize="0" autoLine="0" r:id="rId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4</xdr:col>
                <xdr:colOff>742950</xdr:colOff>
                <xdr:row>3</xdr:row>
                <xdr:rowOff>19050</xdr:rowOff>
              </to>
            </anchor>
          </controlPr>
        </control>
      </mc:Choice>
      <mc:Fallback>
        <control shapeId="3078" r:id="rId6" name="ScrollBar2"/>
      </mc:Fallback>
    </mc:AlternateContent>
    <mc:AlternateContent xmlns:mc="http://schemas.openxmlformats.org/markup-compatibility/2006">
      <mc:Choice Requires="x14">
        <control shapeId="3079" r:id="rId8" name="ScrollBar3">
          <controlPr defaultSize="0" autoLine="0" r:id="rId9">
            <anchor moveWithCells="1">
              <from>
                <xdr:col>2</xdr:col>
                <xdr:colOff>38100</xdr:colOff>
                <xdr:row>3</xdr:row>
                <xdr:rowOff>9525</xdr:rowOff>
              </from>
              <to>
                <xdr:col>4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9" r:id="rId8" name="ScrollBar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0519B99-782A-4F85-A962-BE54AFD8930C}">
            <x14:iconSet iconSet="3Symbols" custom="1">
              <x14:cfvo type="percent">
                <xm:f>0</xm:f>
              </x14:cfvo>
              <x14:cfvo type="formula">
                <xm:f>$B$13-0.000000001</xm:f>
              </x14:cfvo>
              <x14:cfvo type="formula" gte="0">
                <xm:f>$B$13+0.000000001</xm:f>
              </x14:cfvo>
              <x14:cfIcon iconSet="3Symbols" iconId="0"/>
              <x14:cfIcon iconSet="3Symbols" iconId="2"/>
              <x14:cfIcon iconSet="3Symbols" iconId="0"/>
            </x14:iconSet>
          </x14:cfRule>
          <xm:sqref>F27</xm:sqref>
        </x14:conditionalFormatting>
        <x14:conditionalFormatting xmlns:xm="http://schemas.microsoft.com/office/excel/2006/main">
          <x14:cfRule type="iconSet" priority="4" id="{049B2870-A2D5-4BDA-99E7-38C65FEDC5FC}">
            <x14:iconSet iconSet="3Symbols" custom="1">
              <x14:cfvo type="percent">
                <xm:f>0</xm:f>
              </x14:cfvo>
              <x14:cfvo type="formula">
                <xm:f>$B$14-0.000000001</xm:f>
              </x14:cfvo>
              <x14:cfvo type="formula" gte="0">
                <xm:f>$B$14+0.000000001</xm:f>
              </x14:cfvo>
              <x14:cfIcon iconSet="3Symbols" iconId="0"/>
              <x14:cfIcon iconSet="3Symbols" iconId="2"/>
              <x14:cfIcon iconSet="3Symbols" iconId="0"/>
            </x14:iconSet>
          </x14:cfRule>
          <xm:sqref>G27</xm:sqref>
        </x14:conditionalFormatting>
        <x14:conditionalFormatting xmlns:xm="http://schemas.microsoft.com/office/excel/2006/main">
          <x14:cfRule type="iconSet" priority="2" id="{54CA8CD3-BE40-48B9-81B4-81903081E05A}">
            <x14:iconSet iconSet="3Symbols" custom="1">
              <x14:cfvo type="percent">
                <xm:f>0</xm:f>
              </x14:cfvo>
              <x14:cfvo type="formula">
                <xm:f>$B$12-0.000000001</xm:f>
              </x14:cfvo>
              <x14:cfvo type="formula" gte="0">
                <xm:f>$B$12+0.000000001</xm:f>
              </x14:cfvo>
              <x14:cfIcon iconSet="3Symbols" iconId="0"/>
              <x14:cfIcon iconSet="3Symbols" iconId="2"/>
              <x14:cfIcon iconSet="3Symbols" iconId="0"/>
            </x14:iconSet>
          </x14:cfRule>
          <xm:sqref>E27</xm:sqref>
        </x14:conditionalFormatting>
        <x14:conditionalFormatting xmlns:xm="http://schemas.microsoft.com/office/excel/2006/main">
          <x14:cfRule type="iconSet" priority="1" id="{31640F8D-7C29-4C65-990C-C130284047D9}">
            <x14:iconSet iconSet="3Symbols" custom="1">
              <x14:cfvo type="percent">
                <xm:f>0</xm:f>
              </x14:cfvo>
              <x14:cfvo type="num" gte="0">
                <xm:f>0</xm:f>
              </x14:cfvo>
              <x14:cfvo type="num" gte="0">
                <xm:f>9.9999999999999995E-7</xm:f>
              </x14:cfvo>
              <x14:cfIcon iconSet="3Symbols" iconId="2"/>
              <x14:cfIcon iconSet="3Symbols" iconId="0"/>
              <x14:cfIcon iconSet="3Symbols" iconId="0"/>
            </x14:iconSet>
          </x14:cfRule>
          <xm:sqref>E6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12"/>
  <sheetViews>
    <sheetView workbookViewId="0"/>
  </sheetViews>
  <sheetFormatPr defaultRowHeight="14.25"/>
  <cols>
    <col min="1" max="1" width="97.25" style="4" customWidth="1"/>
    <col min="2" max="2" width="9" customWidth="1"/>
  </cols>
  <sheetData>
    <row r="2" spans="1:1">
      <c r="A2" s="4" t="s">
        <v>16</v>
      </c>
    </row>
    <row r="3" spans="1:1">
      <c r="A3" s="5" t="s">
        <v>17</v>
      </c>
    </row>
    <row r="4" spans="1:1" ht="15">
      <c r="A4" s="5" t="s">
        <v>18</v>
      </c>
    </row>
    <row r="5" spans="1:1" ht="15">
      <c r="A5" s="5" t="s">
        <v>19</v>
      </c>
    </row>
    <row r="6" spans="1:1" ht="15">
      <c r="A6" s="5" t="s">
        <v>20</v>
      </c>
    </row>
    <row r="7" spans="1:1" ht="15">
      <c r="A7" s="5" t="s">
        <v>21</v>
      </c>
    </row>
    <row r="8" spans="1:1" ht="15">
      <c r="A8" s="5" t="s">
        <v>22</v>
      </c>
    </row>
    <row r="9" spans="1:1" ht="15">
      <c r="A9" s="5" t="s">
        <v>23</v>
      </c>
    </row>
    <row r="10" spans="1:1">
      <c r="A10" s="4" t="s">
        <v>24</v>
      </c>
    </row>
    <row r="11" spans="1:1">
      <c r="A11" s="4" t="s">
        <v>25</v>
      </c>
    </row>
    <row r="12" spans="1:1">
      <c r="A12" s="4" t="s">
        <v>26</v>
      </c>
    </row>
  </sheetData>
  <pageMargins left="0" right="0" top="0.39370078740157505" bottom="0.39370078740157505" header="0" footer="0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"/>
  <sheetViews>
    <sheetView workbookViewId="0">
      <selection activeCell="G14" sqref="G14"/>
    </sheetView>
  </sheetViews>
  <sheetFormatPr defaultRowHeight="14.25"/>
  <sheetData>
    <row r="1" spans="1:2">
      <c r="A1">
        <v>21876</v>
      </c>
      <c r="B1">
        <v>10890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ScrollBar1">
          <controlPr defaultSize="0" autoLine="0" r:id="rId4">
            <anchor moveWithCells="1">
              <from>
                <xdr:col>3</xdr:col>
                <xdr:colOff>47625</xdr:colOff>
                <xdr:row>5</xdr:row>
                <xdr:rowOff>95250</xdr:rowOff>
              </from>
              <to>
                <xdr:col>13</xdr:col>
                <xdr:colOff>209550</xdr:colOff>
                <xdr:row>9</xdr:row>
                <xdr:rowOff>76200</xdr:rowOff>
              </to>
            </anchor>
          </controlPr>
        </control>
      </mc:Choice>
      <mc:Fallback>
        <control shapeId="6145" r:id="rId3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73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</vt:i4>
      </vt:variant>
    </vt:vector>
  </HeadingPairs>
  <TitlesOfParts>
    <vt:vector size="39" baseType="lpstr">
      <vt:lpstr>OKodwrotnaXY</vt:lpstr>
      <vt:lpstr>OKodwrotnaXYZ (2)</vt:lpstr>
      <vt:lpstr>Sheet2</vt:lpstr>
      <vt:lpstr>Sheet1</vt:lpstr>
      <vt:lpstr>_cos3</vt:lpstr>
      <vt:lpstr>_sin3</vt:lpstr>
      <vt:lpstr>alfaDest</vt:lpstr>
      <vt:lpstr>alfaXYOffsetXY</vt:lpstr>
      <vt:lpstr>destX</vt:lpstr>
      <vt:lpstr>destY</vt:lpstr>
      <vt:lpstr>destZ</vt:lpstr>
      <vt:lpstr>Length0</vt:lpstr>
      <vt:lpstr>Length1</vt:lpstr>
      <vt:lpstr>Length2</vt:lpstr>
      <vt:lpstr>O1X</vt:lpstr>
      <vt:lpstr>O1Y</vt:lpstr>
      <vt:lpstr>O1Z</vt:lpstr>
      <vt:lpstr>O2X</vt:lpstr>
      <vt:lpstr>O2Y</vt:lpstr>
      <vt:lpstr>O2Z</vt:lpstr>
      <vt:lpstr>O3X</vt:lpstr>
      <vt:lpstr>O3Y</vt:lpstr>
      <vt:lpstr>O3Z</vt:lpstr>
      <vt:lpstr>ODestX</vt:lpstr>
      <vt:lpstr>ODestY</vt:lpstr>
      <vt:lpstr>ODestZ</vt:lpstr>
      <vt:lpstr>offsetX</vt:lpstr>
      <vt:lpstr>offsetY</vt:lpstr>
      <vt:lpstr>offsetZ</vt:lpstr>
      <vt:lpstr>pXFromO1</vt:lpstr>
      <vt:lpstr>pXFromO2</vt:lpstr>
      <vt:lpstr>pYFromO1</vt:lpstr>
      <vt:lpstr>pYFromO2</vt:lpstr>
      <vt:lpstr>pZFromO1</vt:lpstr>
      <vt:lpstr>pZFromO2</vt:lpstr>
      <vt:lpstr>RpXpY</vt:lpstr>
      <vt:lpstr>theta0</vt:lpstr>
      <vt:lpstr>theta1</vt:lpstr>
      <vt:lpstr>theta2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KubaMiszcz</dc:creator>
  <cp:lastModifiedBy>Windows User</cp:lastModifiedBy>
  <cp:revision>11</cp:revision>
  <dcterms:created xsi:type="dcterms:W3CDTF">2018-04-27T15:01:34Z</dcterms:created>
  <dcterms:modified xsi:type="dcterms:W3CDTF">2018-05-17T14:30:28Z</dcterms:modified>
</cp:coreProperties>
</file>